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r" sheetId="1" state="visible" r:id="rId1"/>
    <sheet name="Monte Carlo" sheetId="2" state="visible" r:id="rId2"/>
    <sheet name="Chart data" sheetId="3" state="visible" r:id="rId3"/>
    <sheet name="Notes" sheetId="4" state="visible" r:id="rId4"/>
  </sheets>
  <definedNames>
    <definedName name="Spot">Pricer!$B$5</definedName>
    <definedName name="Strike">Pricer!$B$6</definedName>
    <definedName name="Maturity">Pricer!$B$7</definedName>
    <definedName name="Rate">Pricer!$B$8</definedName>
    <definedName name="Vol">Pricer!$B$9</definedName>
    <definedName name="DivYield">Pricer!$B$10</definedName>
    <definedName name="OptType">Pricer!$B$11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7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color rgb="00FFFFFF"/>
    </font>
    <font>
      <color rgb="00888888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1" pivotButton="0" quotePrefix="0" xfId="0"/>
    <xf numFmtId="0" fontId="4" fillId="0" borderId="0" pivotButton="0" quotePrefix="0" xfId="0"/>
    <xf numFmtId="10" fontId="0" fillId="3" borderId="1" pivotButton="0" quotePrefix="0" xfId="0"/>
    <xf numFmtId="164" fontId="0" fillId="0" borderId="0" pivotButton="0" quotePrefix="0" xfId="0"/>
    <xf numFmtId="0" fontId="5" fillId="0" borderId="0" pivotButton="0" quotePrefix="0" xfId="0"/>
    <xf numFmtId="164" fontId="5" fillId="0" borderId="1" pivotButton="0" quotePrefix="0" xfId="0"/>
    <xf numFmtId="0" fontId="6" fillId="0" borderId="0" pivotButton="0" quotePrefix="0" xfId="0"/>
    <xf numFmtId="164" fontId="0" fillId="0" borderId="1" pivotButton="0" quotePrefix="0" xfId="0"/>
    <xf numFmtId="0" fontId="3" fillId="2" borderId="0" applyAlignment="1" pivotButton="0" quotePrefix="0" xfId="0">
      <alignment horizontal="center" wrapText="1"/>
    </xf>
    <xf numFmtId="3" fontId="0" fillId="0" borderId="1" pivotButton="0" quotePrefix="0" xfId="0"/>
    <xf numFmtId="165" fontId="0" fillId="0" borderId="1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Option price vs spot (today) and payoff at maturity</a:t>
            </a:r>
          </a:p>
        </rich>
      </tx>
    </title>
    <plotArea>
      <lineChart>
        <grouping val="standard"/>
        <ser>
          <idx val="0"/>
          <order val="0"/>
          <tx>
            <strRef>
              <f>'Chart 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data'!$A$2:$A$42</f>
            </numRef>
          </cat>
          <val>
            <numRef>
              <f>'Chart data'!$B$2:$B$42</f>
            </numRef>
          </val>
        </ser>
        <ser>
          <idx val="1"/>
          <order val="1"/>
          <tx>
            <strRef>
              <f>'Chart data'!C1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data'!$A$2:$A$42</f>
            </numRef>
          </cat>
          <val>
            <numRef>
              <f>'Chart data'!$C$2:$C$42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Spot</a:t>
                </a:r>
              </a:p>
            </rich>
          </tx>
        </title>
        <numFmt formatCode="0" sourceLinked="0"/>
        <majorTickMark val="none"/>
        <minorTickMark val="none"/>
        <crossAx val="100"/>
        <lblOffset val="100"/>
        <tickLbl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 price and 95% interval vs number of paths</a:t>
            </a:r>
          </a:p>
        </rich>
      </tx>
    </title>
    <plotArea>
      <lineChart>
        <grouping val="standard"/>
        <ser>
          <idx val="0"/>
          <order val="0"/>
          <tx>
            <strRef>
              <f>'Monte Carlo'!B4</f>
            </strRef>
          </tx>
          <spPr>
            <a:ln w="22000">
              <a:solidFill>
                <a:srgbClr val="0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'Monte Carlo'!$A$5:$A$14</f>
            </numRef>
          </cat>
          <val>
            <numRef>
              <f>'Monte Carlo'!$B$5:$B$14</f>
            </numRef>
          </val>
          <smooth val="0"/>
        </ser>
        <ser>
          <idx val="1"/>
          <order val="1"/>
          <tx>
            <strRef>
              <f>'Monte Carlo'!C4</f>
            </strRef>
          </tx>
          <spPr>
            <a:ln w="22000">
              <a:solidFill>
                <a:srgbClr val="9AA5B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'Monte Carlo'!$A$5:$A$14</f>
            </numRef>
          </cat>
          <val>
            <numRef>
              <f>'Monte Carlo'!$C$5:$C$14</f>
            </numRef>
          </val>
          <smooth val="0"/>
        </ser>
        <ser>
          <idx val="2"/>
          <order val="2"/>
          <tx>
            <strRef>
              <f>'Monte Carlo'!D4</f>
            </strRef>
          </tx>
          <spPr>
            <a:ln w="22000">
              <a:solidFill>
                <a:srgbClr val="C9CFD6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'Monte Carlo'!$A$5:$A$14</f>
            </numRef>
          </cat>
          <val>
            <numRef>
              <f>'Monte Carlo'!$D$5:$D$14</f>
            </numRef>
          </val>
          <smooth val="0"/>
        </ser>
        <ser>
          <idx val="3"/>
          <order val="3"/>
          <tx>
            <strRef>
              <f>'Monte Carlo'!E4</f>
            </strRef>
          </tx>
          <spPr>
            <a:ln w="22000">
              <a:solidFill>
                <a:srgbClr val="C9CFD6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'Monte Carlo'!$A$5:$A$14</f>
            </numRef>
          </cat>
          <val>
            <numRef>
              <f>'Monte Carlo'!$E$5:$E$14</f>
            </numRef>
          </val>
          <smooth val="0"/>
        </ser>
        <ser>
          <idx val="4"/>
          <order val="4"/>
          <tx>
            <strRef>
              <f>'Monte Carlo'!F4</f>
            </strRef>
          </tx>
          <spPr>
            <a:ln w="22000">
              <a:solidFill>
                <a:srgbClr val="1F6F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'Monte Carlo'!$A$5:$A$14</f>
            </numRef>
          </cat>
          <val>
            <numRef>
              <f>'Monte Carlo'!$F$5:$F$14</f>
            </numRef>
          </val>
          <smooth val="0"/>
        </ser>
        <ser>
          <idx val="5"/>
          <order val="5"/>
          <tx>
            <strRef>
              <f>'Monte Carlo'!G4</f>
            </strRef>
          </tx>
          <spPr>
            <a:ln w="22000">
              <a:solidFill>
                <a:srgbClr val="8DB6F5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'Monte Carlo'!$A$5:$A$14</f>
            </numRef>
          </cat>
          <val>
            <numRef>
              <f>'Monte Carlo'!$G$5:$G$14</f>
            </numRef>
          </val>
          <smooth val="0"/>
        </ser>
        <ser>
          <idx val="6"/>
          <order val="6"/>
          <tx>
            <strRef>
              <f>'Monte Carlo'!H4</f>
            </strRef>
          </tx>
          <spPr>
            <a:ln w="22000">
              <a:solidFill>
                <a:srgbClr val="8DB6F5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'Monte Carlo'!$A$5:$A$14</f>
            </numRef>
          </cat>
          <val>
            <numRef>
              <f>'Monte Carlo'!$H$5:$H$14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Number of paths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1.5"/>
          <min val="9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Call price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46" customWidth="1" min="3" max="3"/>
  </cols>
  <sheetData>
    <row r="1">
      <c r="A1" s="1" t="inlineStr">
        <is>
          <t>Black-Scholes option pricer</t>
        </is>
      </c>
    </row>
    <row r="2">
      <c r="A2" s="2" t="inlineStr">
        <is>
          <t>Edit the yellow cells. Everything else is computed with Excel formulas.</t>
        </is>
      </c>
    </row>
    <row r="4">
      <c r="A4" s="3" t="inlineStr">
        <is>
          <t>Inputs</t>
        </is>
      </c>
    </row>
    <row r="5">
      <c r="A5" t="inlineStr">
        <is>
          <t>Spot (S)</t>
        </is>
      </c>
      <c r="B5" s="4" t="n">
        <v>100</v>
      </c>
      <c r="C5" s="5" t="inlineStr">
        <is>
          <t>Underlying price</t>
        </is>
      </c>
    </row>
    <row r="6">
      <c r="A6" t="inlineStr">
        <is>
          <t>Strike (K)</t>
        </is>
      </c>
      <c r="B6" s="4" t="n">
        <v>100</v>
      </c>
      <c r="C6" s="5" t="inlineStr"/>
    </row>
    <row r="7">
      <c r="A7" t="inlineStr">
        <is>
          <t>Maturity in years (T)</t>
        </is>
      </c>
      <c r="B7" s="4" t="n">
        <v>1</v>
      </c>
      <c r="C7" s="5" t="inlineStr">
        <is>
          <t>e.g. 0.5 = 6 months</t>
        </is>
      </c>
    </row>
    <row r="8">
      <c r="A8" t="inlineStr">
        <is>
          <t>Risk-free rate (r)</t>
        </is>
      </c>
      <c r="B8" s="6" t="n">
        <v>0.05</v>
      </c>
      <c r="C8" s="5" t="inlineStr">
        <is>
          <t>Continuously compounded</t>
        </is>
      </c>
    </row>
    <row r="9">
      <c r="A9" t="inlineStr">
        <is>
          <t>Volatility (sigma)</t>
        </is>
      </c>
      <c r="B9" s="6" t="n">
        <v>0.2</v>
      </c>
      <c r="C9" s="5" t="inlineStr">
        <is>
          <t>Annualised</t>
        </is>
      </c>
    </row>
    <row r="10">
      <c r="A10" t="inlineStr">
        <is>
          <t>Dividend yield (q)</t>
        </is>
      </c>
      <c r="B10" s="6" t="n">
        <v>0</v>
      </c>
      <c r="C10" s="5" t="inlineStr">
        <is>
          <t>Continuous</t>
        </is>
      </c>
    </row>
    <row r="11">
      <c r="A11" t="inlineStr">
        <is>
          <t>Type (Call / Put)</t>
        </is>
      </c>
      <c r="B11" s="4" t="inlineStr">
        <is>
          <t>Call</t>
        </is>
      </c>
      <c r="C11" s="5" t="inlineStr">
        <is>
          <t>Drop-down list</t>
        </is>
      </c>
    </row>
    <row r="13">
      <c r="A13" s="3" t="inlineStr">
        <is>
          <t>Intermediate</t>
        </is>
      </c>
    </row>
    <row r="14">
      <c r="A14" t="inlineStr">
        <is>
          <t>d1</t>
        </is>
      </c>
      <c r="B14" s="7">
        <f>(LN(Spot/Strike)+(Rate-DivYield+Vol^2/2)*Maturity)/(Vol*SQRT(Maturity))</f>
        <v/>
      </c>
    </row>
    <row r="15">
      <c r="A15" t="inlineStr">
        <is>
          <t>d2</t>
        </is>
      </c>
      <c r="B15" s="7">
        <f>B14-Vol*SQRT(Maturity)</f>
        <v/>
      </c>
    </row>
    <row r="16">
      <c r="A16" t="inlineStr">
        <is>
          <t>Sign (+1 call, -1 put)</t>
        </is>
      </c>
      <c r="B16">
        <f>IF(OptType="Call",1,-1)</f>
        <v/>
      </c>
    </row>
    <row r="18">
      <c r="A18" s="3" t="inlineStr">
        <is>
          <t>Results</t>
        </is>
      </c>
    </row>
    <row r="19">
      <c r="A19" s="8" t="inlineStr">
        <is>
          <t>Price</t>
        </is>
      </c>
      <c r="B19" s="9">
        <f>B16*(Spot*EXP(-DivYield*Maturity)*NORMSDIST(B16*B14)-Strike*EXP(-Rate*Maturity)*NORMSDIST(B16*B15))</f>
        <v/>
      </c>
      <c r="C19" s="5" t="inlineStr"/>
    </row>
    <row r="20">
      <c r="A20" s="10" t="inlineStr">
        <is>
          <t>Delta</t>
        </is>
      </c>
      <c r="B20" s="11">
        <f>B16*EXP(-DivYield*Maturity)*NORMSDIST(B16*B14)</f>
        <v/>
      </c>
      <c r="C20" s="5" t="inlineStr">
        <is>
          <t>per 1 unit of spot</t>
        </is>
      </c>
    </row>
    <row r="21">
      <c r="A21" s="10" t="inlineStr">
        <is>
          <t>Gamma</t>
        </is>
      </c>
      <c r="B21" s="11">
        <f>EXP(-DivYield*Maturity)*EXP(-B14^2/2)/SQRT(2*PI())/(Spot*Vol*SQRT(Maturity))</f>
        <v/>
      </c>
      <c r="C21" s="5" t="inlineStr"/>
    </row>
    <row r="22">
      <c r="A22" s="10" t="inlineStr">
        <is>
          <t>Vega (per 1 vol point)</t>
        </is>
      </c>
      <c r="B22" s="11">
        <f>Spot*EXP(-DivYield*Maturity)*EXP(-B14^2/2)/SQRT(2*PI())*SQRT(Maturity)/100</f>
        <v/>
      </c>
      <c r="C22" s="5" t="inlineStr">
        <is>
          <t>change for +1% volatility</t>
        </is>
      </c>
    </row>
    <row r="23">
      <c r="A23" s="10" t="inlineStr">
        <is>
          <t>Theta (per calendar day)</t>
        </is>
      </c>
      <c r="B23" s="11">
        <f>(-Spot*EXP(-DivYield*Maturity)*EXP(-B14^2/2)/SQRT(2*PI())*Vol/(2*SQRT(Maturity))-B16*Rate*Strike*EXP(-Rate*Maturity)*NORMSDIST(B16*B15)+B16*DivYield*Spot*EXP(-DivYield*Maturity)*NORMSDIST(B16*B14))/365</f>
        <v/>
      </c>
      <c r="C23" s="5" t="inlineStr">
        <is>
          <t>annual theta / 365</t>
        </is>
      </c>
    </row>
    <row r="24">
      <c r="A24" s="10" t="inlineStr">
        <is>
          <t>Rho (per 1% rate)</t>
        </is>
      </c>
      <c r="B24" s="11">
        <f>B16*Strike*Maturity*EXP(-Rate*Maturity)*NORMSDIST(B16*B15)/100</f>
        <v/>
      </c>
      <c r="C24" s="5" t="inlineStr">
        <is>
          <t>change for +1% rate</t>
        </is>
      </c>
    </row>
    <row r="25">
      <c r="A25" s="10" t="inlineStr">
        <is>
          <t>Forward value S.e^(-qT) - K.e^(-rT)</t>
        </is>
      </c>
      <c r="B25" s="11">
        <f>Spot*EXP(-DivYield*Maturity)-Strike*EXP(-Rate*Maturity)</f>
        <v/>
      </c>
      <c r="C25" s="5" t="inlineStr">
        <is>
          <t>C - P should equal this</t>
        </is>
      </c>
    </row>
  </sheetData>
  <dataValidations count="1">
    <dataValidation sqref="B11" showDropDown="0" showInputMessage="0" showErrorMessage="0" allowBlank="0" type="list">
      <formula1>"Call,Put"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2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5" customWidth="1" min="9" max="9"/>
  </cols>
  <sheetData>
    <row r="1">
      <c r="A1" s="1" t="inlineStr">
        <is>
          <t>Monte Carlo convergence, ATM European call (precomputed in Python)</t>
        </is>
      </c>
    </row>
    <row r="2">
      <c r="A2" s="2" t="inlineStr">
        <is>
          <t>S=100, K=100, T=1y, r=5%, vol=20%, seed=N (one independent run per row). Static values: re-run python excel/build_workbook.py to refresh.</t>
        </is>
      </c>
    </row>
    <row r="4">
      <c r="A4" s="12" t="inlineStr">
        <is>
          <t>Paths (N)</t>
        </is>
      </c>
      <c r="B4" s="12" t="inlineStr">
        <is>
          <t>Black-Scholes</t>
        </is>
      </c>
      <c r="C4" s="12" t="inlineStr">
        <is>
          <t>Plain MC</t>
        </is>
      </c>
      <c r="D4" s="12" t="inlineStr">
        <is>
          <t>Plain low 95%</t>
        </is>
      </c>
      <c r="E4" s="12" t="inlineStr">
        <is>
          <t>Plain high 95%</t>
        </is>
      </c>
      <c r="F4" s="12" t="inlineStr">
        <is>
          <t>Antithetic + CV</t>
        </is>
      </c>
      <c r="G4" s="12" t="inlineStr">
        <is>
          <t>Reduced low 95%</t>
        </is>
      </c>
      <c r="H4" s="12" t="inlineStr">
        <is>
          <t>Reduced high 95%</t>
        </is>
      </c>
      <c r="I4" s="12" t="inlineStr">
        <is>
          <t>Std error ratio</t>
        </is>
      </c>
    </row>
    <row r="5">
      <c r="A5" s="13" t="n">
        <v>500</v>
      </c>
      <c r="B5" s="11" t="n">
        <v>10.450584</v>
      </c>
      <c r="C5" s="11" t="n">
        <v>9.659121000000001</v>
      </c>
      <c r="D5" s="11" t="n">
        <v>8.422088</v>
      </c>
      <c r="E5" s="11" t="n">
        <v>10.896153</v>
      </c>
      <c r="F5" s="11" t="n">
        <v>10.429363</v>
      </c>
      <c r="G5" s="11" t="n">
        <v>10.188309</v>
      </c>
      <c r="H5" s="11" t="n">
        <v>10.670416</v>
      </c>
      <c r="I5" s="14" t="n">
        <v>5.131772</v>
      </c>
    </row>
    <row r="6">
      <c r="A6" s="13" t="n">
        <v>1000</v>
      </c>
      <c r="B6" s="11" t="n">
        <v>10.450584</v>
      </c>
      <c r="C6" s="11" t="n">
        <v>9.937773999999999</v>
      </c>
      <c r="D6" s="11" t="n">
        <v>9.058593</v>
      </c>
      <c r="E6" s="11" t="n">
        <v>10.816956</v>
      </c>
      <c r="F6" s="11" t="n">
        <v>10.431302</v>
      </c>
      <c r="G6" s="11" t="n">
        <v>10.254896</v>
      </c>
      <c r="H6" s="11" t="n">
        <v>10.607708</v>
      </c>
      <c r="I6" s="14" t="n">
        <v>4.98385</v>
      </c>
    </row>
    <row r="7">
      <c r="A7" s="13" t="n">
        <v>2000</v>
      </c>
      <c r="B7" s="11" t="n">
        <v>10.450584</v>
      </c>
      <c r="C7" s="11" t="n">
        <v>10.566744</v>
      </c>
      <c r="D7" s="11" t="n">
        <v>9.903769</v>
      </c>
      <c r="E7" s="11" t="n">
        <v>11.229719</v>
      </c>
      <c r="F7" s="11" t="n">
        <v>10.542943</v>
      </c>
      <c r="G7" s="11" t="n">
        <v>10.426754</v>
      </c>
      <c r="H7" s="11" t="n">
        <v>10.659132</v>
      </c>
      <c r="I7" s="14" t="n">
        <v>5.706011</v>
      </c>
    </row>
    <row r="8">
      <c r="A8" s="13" t="n">
        <v>5000</v>
      </c>
      <c r="B8" s="11" t="n">
        <v>10.450584</v>
      </c>
      <c r="C8" s="11" t="n">
        <v>10.355161</v>
      </c>
      <c r="D8" s="11" t="n">
        <v>9.952059</v>
      </c>
      <c r="E8" s="11" t="n">
        <v>10.758264</v>
      </c>
      <c r="F8" s="11" t="n">
        <v>10.441539</v>
      </c>
      <c r="G8" s="11" t="n">
        <v>10.365144</v>
      </c>
      <c r="H8" s="11" t="n">
        <v>10.517934</v>
      </c>
      <c r="I8" s="14" t="n">
        <v>5.27654</v>
      </c>
    </row>
    <row r="9">
      <c r="A9" s="13" t="n">
        <v>10000</v>
      </c>
      <c r="B9" s="11" t="n">
        <v>10.450584</v>
      </c>
      <c r="C9" s="11" t="n">
        <v>10.362883</v>
      </c>
      <c r="D9" s="11" t="n">
        <v>10.076227</v>
      </c>
      <c r="E9" s="11" t="n">
        <v>10.649538</v>
      </c>
      <c r="F9" s="11" t="n">
        <v>10.40572</v>
      </c>
      <c r="G9" s="11" t="n">
        <v>10.351609</v>
      </c>
      <c r="H9" s="11" t="n">
        <v>10.459831</v>
      </c>
      <c r="I9" s="14" t="n">
        <v>5.297548</v>
      </c>
    </row>
    <row r="10">
      <c r="A10" s="13" t="n">
        <v>20000</v>
      </c>
      <c r="B10" s="11" t="n">
        <v>10.450584</v>
      </c>
      <c r="C10" s="11" t="n">
        <v>10.309091</v>
      </c>
      <c r="D10" s="11" t="n">
        <v>10.106474</v>
      </c>
      <c r="E10" s="11" t="n">
        <v>10.511707</v>
      </c>
      <c r="F10" s="11" t="n">
        <v>10.46782</v>
      </c>
      <c r="G10" s="11" t="n">
        <v>10.430487</v>
      </c>
      <c r="H10" s="11" t="n">
        <v>10.505154</v>
      </c>
      <c r="I10" s="14" t="n">
        <v>5.427194</v>
      </c>
    </row>
    <row r="11">
      <c r="A11" s="13" t="n">
        <v>50000</v>
      </c>
      <c r="B11" s="11" t="n">
        <v>10.450584</v>
      </c>
      <c r="C11" s="11" t="n">
        <v>10.378517</v>
      </c>
      <c r="D11" s="11" t="n">
        <v>10.25051</v>
      </c>
      <c r="E11" s="11" t="n">
        <v>10.506525</v>
      </c>
      <c r="F11" s="11" t="n">
        <v>10.459275</v>
      </c>
      <c r="G11" s="11" t="n">
        <v>10.435707</v>
      </c>
      <c r="H11" s="11" t="n">
        <v>10.482843</v>
      </c>
      <c r="I11" s="14" t="n">
        <v>5.431421</v>
      </c>
    </row>
    <row r="12">
      <c r="A12" s="13" t="n">
        <v>100000</v>
      </c>
      <c r="B12" s="11" t="n">
        <v>10.450584</v>
      </c>
      <c r="C12" s="11" t="n">
        <v>10.373513</v>
      </c>
      <c r="D12" s="11" t="n">
        <v>10.282382</v>
      </c>
      <c r="E12" s="11" t="n">
        <v>10.464644</v>
      </c>
      <c r="F12" s="11" t="n">
        <v>10.452088</v>
      </c>
      <c r="G12" s="11" t="n">
        <v>10.43502</v>
      </c>
      <c r="H12" s="11" t="n">
        <v>10.469156</v>
      </c>
      <c r="I12" s="14" t="n">
        <v>5.339385</v>
      </c>
    </row>
    <row r="13">
      <c r="A13" s="13" t="n">
        <v>200000</v>
      </c>
      <c r="B13" s="11" t="n">
        <v>10.450584</v>
      </c>
      <c r="C13" s="11" t="n">
        <v>10.45138</v>
      </c>
      <c r="D13" s="11" t="n">
        <v>10.386896</v>
      </c>
      <c r="E13" s="11" t="n">
        <v>10.515863</v>
      </c>
      <c r="F13" s="11" t="n">
        <v>10.456581</v>
      </c>
      <c r="G13" s="11" t="n">
        <v>10.444478</v>
      </c>
      <c r="H13" s="11" t="n">
        <v>10.468683</v>
      </c>
      <c r="I13" s="14" t="n">
        <v>5.328077</v>
      </c>
    </row>
    <row r="14">
      <c r="A14" s="13" t="n">
        <v>500000</v>
      </c>
      <c r="B14" s="11" t="n">
        <v>10.450584</v>
      </c>
      <c r="C14" s="11" t="n">
        <v>10.450473</v>
      </c>
      <c r="D14" s="11" t="n">
        <v>10.409644</v>
      </c>
      <c r="E14" s="11" t="n">
        <v>10.491302</v>
      </c>
      <c r="F14" s="11" t="n">
        <v>10.454161</v>
      </c>
      <c r="G14" s="11" t="n">
        <v>10.446566</v>
      </c>
      <c r="H14" s="11" t="n">
        <v>10.461756</v>
      </c>
      <c r="I14" s="14" t="n">
        <v>5.375722</v>
      </c>
    </row>
    <row r="37">
      <c r="A37" s="8" t="inlineStr">
        <is>
          <t>American put, Longstaff &amp; Schwartz (2001) case: S=36, K=40, r=6%, vol=20%, T=1</t>
        </is>
      </c>
    </row>
    <row r="38">
      <c r="A38" s="3" t="inlineStr">
        <is>
          <t>Method</t>
        </is>
      </c>
      <c r="B38" s="3" t="inlineStr">
        <is>
          <t>Price</t>
        </is>
      </c>
      <c r="C38" s="3" t="inlineStr">
        <is>
          <t>Std error</t>
        </is>
      </c>
    </row>
    <row r="39">
      <c r="A39" t="inlineStr">
        <is>
          <t>European put (Black-Scholes)</t>
        </is>
      </c>
      <c r="B39" s="11" t="n">
        <v>3.844308</v>
      </c>
    </row>
    <row r="40">
      <c r="A40" t="inlineStr">
        <is>
          <t>American put, CRR tree 2,000 steps</t>
        </is>
      </c>
      <c r="B40" s="11" t="n">
        <v>4.486687</v>
      </c>
    </row>
    <row r="41">
      <c r="A41" t="inlineStr">
        <is>
          <t>American put, LSM 100,000 paths, 50 dates</t>
        </is>
      </c>
      <c r="B41" s="11" t="n">
        <v>4.475128</v>
      </c>
      <c r="C41" s="11" t="n">
        <v>0.00602</v>
      </c>
    </row>
    <row r="42">
      <c r="A42" t="inlineStr">
        <is>
          <t>Paper, finite differences (reference grid)</t>
        </is>
      </c>
      <c r="B42" s="11" t="n">
        <v>4.478</v>
      </c>
    </row>
    <row r="43">
      <c r="A43" t="inlineStr">
        <is>
          <t>Paper, LSM simulation</t>
        </is>
      </c>
      <c r="B43" s="11" t="n">
        <v>4.472</v>
      </c>
      <c r="C43" s="11" t="n">
        <v>0.01</v>
      </c>
    </row>
    <row r="44">
      <c r="A44" s="2" t="inlineStr">
        <is>
          <t>The tree is stable at 4.4867 from 1,000 to 20,000 steps; the paper's 4.478 comes from a coarser grid. LSM is noisy (s.e. above) and slightly biased low (estimated exercise rule).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</cols>
  <sheetData>
    <row r="1">
      <c r="A1" s="3" t="inlineStr">
        <is>
          <t>Spot</t>
        </is>
      </c>
      <c r="B1" s="3" t="inlineStr">
        <is>
          <t>Option price</t>
        </is>
      </c>
      <c r="C1" s="3" t="inlineStr">
        <is>
          <t>Payoff</t>
        </is>
      </c>
    </row>
    <row r="2">
      <c r="A2" s="15">
        <f>Strike*(0.5+0/40)</f>
        <v/>
      </c>
      <c r="B2" s="15">
        <f>Pricer!$B$16*(A2*EXP(-DivYield*Maturity)*NORMSDIST(Pricer!$B$16*((LN(A2/Strike)+(Rate-DivYield+Vol^2/2)*Maturity)/(Vol*SQRT(Maturity))))-Strike*EXP(-Rate*Maturity)*NORMSDIST(Pricer!$B$16*(((LN(A2/Strike)+(Rate-DivYield+Vol^2/2)*Maturity)/(Vol*SQRT(Maturity)))-Vol*SQRT(Maturity))))</f>
        <v/>
      </c>
      <c r="C2" s="15">
        <f>MAX(Pricer!$B$16*(A2-Strike),0)</f>
        <v/>
      </c>
    </row>
    <row r="3">
      <c r="A3" s="15">
        <f>Strike*(0.5+1/40)</f>
        <v/>
      </c>
      <c r="B3" s="15">
        <f>Pricer!$B$16*(A3*EXP(-DivYield*Maturity)*NORMSDIST(Pricer!$B$16*((LN(A3/Strike)+(Rate-DivYield+Vol^2/2)*Maturity)/(Vol*SQRT(Maturity))))-Strike*EXP(-Rate*Maturity)*NORMSDIST(Pricer!$B$16*(((LN(A3/Strike)+(Rate-DivYield+Vol^2/2)*Maturity)/(Vol*SQRT(Maturity)))-Vol*SQRT(Maturity))))</f>
        <v/>
      </c>
      <c r="C3" s="15">
        <f>MAX(Pricer!$B$16*(A3-Strike),0)</f>
        <v/>
      </c>
    </row>
    <row r="4">
      <c r="A4" s="15">
        <f>Strike*(0.5+2/40)</f>
        <v/>
      </c>
      <c r="B4" s="15">
        <f>Pricer!$B$16*(A4*EXP(-DivYield*Maturity)*NORMSDIST(Pricer!$B$16*((LN(A4/Strike)+(Rate-DivYield+Vol^2/2)*Maturity)/(Vol*SQRT(Maturity))))-Strike*EXP(-Rate*Maturity)*NORMSDIST(Pricer!$B$16*(((LN(A4/Strike)+(Rate-DivYield+Vol^2/2)*Maturity)/(Vol*SQRT(Maturity)))-Vol*SQRT(Maturity))))</f>
        <v/>
      </c>
      <c r="C4" s="15">
        <f>MAX(Pricer!$B$16*(A4-Strike),0)</f>
        <v/>
      </c>
    </row>
    <row r="5">
      <c r="A5" s="15">
        <f>Strike*(0.5+3/40)</f>
        <v/>
      </c>
      <c r="B5" s="15">
        <f>Pricer!$B$16*(A5*EXP(-DivYield*Maturity)*NORMSDIST(Pricer!$B$16*((LN(A5/Strike)+(Rate-DivYield+Vol^2/2)*Maturity)/(Vol*SQRT(Maturity))))-Strike*EXP(-Rate*Maturity)*NORMSDIST(Pricer!$B$16*(((LN(A5/Strike)+(Rate-DivYield+Vol^2/2)*Maturity)/(Vol*SQRT(Maturity)))-Vol*SQRT(Maturity))))</f>
        <v/>
      </c>
      <c r="C5" s="15">
        <f>MAX(Pricer!$B$16*(A5-Strike),0)</f>
        <v/>
      </c>
    </row>
    <row r="6">
      <c r="A6" s="15">
        <f>Strike*(0.5+4/40)</f>
        <v/>
      </c>
      <c r="B6" s="15">
        <f>Pricer!$B$16*(A6*EXP(-DivYield*Maturity)*NORMSDIST(Pricer!$B$16*((LN(A6/Strike)+(Rate-DivYield+Vol^2/2)*Maturity)/(Vol*SQRT(Maturity))))-Strike*EXP(-Rate*Maturity)*NORMSDIST(Pricer!$B$16*(((LN(A6/Strike)+(Rate-DivYield+Vol^2/2)*Maturity)/(Vol*SQRT(Maturity)))-Vol*SQRT(Maturity))))</f>
        <v/>
      </c>
      <c r="C6" s="15">
        <f>MAX(Pricer!$B$16*(A6-Strike),0)</f>
        <v/>
      </c>
    </row>
    <row r="7">
      <c r="A7" s="15">
        <f>Strike*(0.5+5/40)</f>
        <v/>
      </c>
      <c r="B7" s="15">
        <f>Pricer!$B$16*(A7*EXP(-DivYield*Maturity)*NORMSDIST(Pricer!$B$16*((LN(A7/Strike)+(Rate-DivYield+Vol^2/2)*Maturity)/(Vol*SQRT(Maturity))))-Strike*EXP(-Rate*Maturity)*NORMSDIST(Pricer!$B$16*(((LN(A7/Strike)+(Rate-DivYield+Vol^2/2)*Maturity)/(Vol*SQRT(Maturity)))-Vol*SQRT(Maturity))))</f>
        <v/>
      </c>
      <c r="C7" s="15">
        <f>MAX(Pricer!$B$16*(A7-Strike),0)</f>
        <v/>
      </c>
    </row>
    <row r="8">
      <c r="A8" s="15">
        <f>Strike*(0.5+6/40)</f>
        <v/>
      </c>
      <c r="B8" s="15">
        <f>Pricer!$B$16*(A8*EXP(-DivYield*Maturity)*NORMSDIST(Pricer!$B$16*((LN(A8/Strike)+(Rate-DivYield+Vol^2/2)*Maturity)/(Vol*SQRT(Maturity))))-Strike*EXP(-Rate*Maturity)*NORMSDIST(Pricer!$B$16*(((LN(A8/Strike)+(Rate-DivYield+Vol^2/2)*Maturity)/(Vol*SQRT(Maturity)))-Vol*SQRT(Maturity))))</f>
        <v/>
      </c>
      <c r="C8" s="15">
        <f>MAX(Pricer!$B$16*(A8-Strike),0)</f>
        <v/>
      </c>
    </row>
    <row r="9">
      <c r="A9" s="15">
        <f>Strike*(0.5+7/40)</f>
        <v/>
      </c>
      <c r="B9" s="15">
        <f>Pricer!$B$16*(A9*EXP(-DivYield*Maturity)*NORMSDIST(Pricer!$B$16*((LN(A9/Strike)+(Rate-DivYield+Vol^2/2)*Maturity)/(Vol*SQRT(Maturity))))-Strike*EXP(-Rate*Maturity)*NORMSDIST(Pricer!$B$16*(((LN(A9/Strike)+(Rate-DivYield+Vol^2/2)*Maturity)/(Vol*SQRT(Maturity)))-Vol*SQRT(Maturity))))</f>
        <v/>
      </c>
      <c r="C9" s="15">
        <f>MAX(Pricer!$B$16*(A9-Strike),0)</f>
        <v/>
      </c>
    </row>
    <row r="10">
      <c r="A10" s="15">
        <f>Strike*(0.5+8/40)</f>
        <v/>
      </c>
      <c r="B10" s="15">
        <f>Pricer!$B$16*(A10*EXP(-DivYield*Maturity)*NORMSDIST(Pricer!$B$16*((LN(A10/Strike)+(Rate-DivYield+Vol^2/2)*Maturity)/(Vol*SQRT(Maturity))))-Strike*EXP(-Rate*Maturity)*NORMSDIST(Pricer!$B$16*(((LN(A10/Strike)+(Rate-DivYield+Vol^2/2)*Maturity)/(Vol*SQRT(Maturity)))-Vol*SQRT(Maturity))))</f>
        <v/>
      </c>
      <c r="C10" s="15">
        <f>MAX(Pricer!$B$16*(A10-Strike),0)</f>
        <v/>
      </c>
    </row>
    <row r="11">
      <c r="A11" s="15">
        <f>Strike*(0.5+9/40)</f>
        <v/>
      </c>
      <c r="B11" s="15">
        <f>Pricer!$B$16*(A11*EXP(-DivYield*Maturity)*NORMSDIST(Pricer!$B$16*((LN(A11/Strike)+(Rate-DivYield+Vol^2/2)*Maturity)/(Vol*SQRT(Maturity))))-Strike*EXP(-Rate*Maturity)*NORMSDIST(Pricer!$B$16*(((LN(A11/Strike)+(Rate-DivYield+Vol^2/2)*Maturity)/(Vol*SQRT(Maturity)))-Vol*SQRT(Maturity))))</f>
        <v/>
      </c>
      <c r="C11" s="15">
        <f>MAX(Pricer!$B$16*(A11-Strike),0)</f>
        <v/>
      </c>
    </row>
    <row r="12">
      <c r="A12" s="15">
        <f>Strike*(0.5+10/40)</f>
        <v/>
      </c>
      <c r="B12" s="15">
        <f>Pricer!$B$16*(A12*EXP(-DivYield*Maturity)*NORMSDIST(Pricer!$B$16*((LN(A12/Strike)+(Rate-DivYield+Vol^2/2)*Maturity)/(Vol*SQRT(Maturity))))-Strike*EXP(-Rate*Maturity)*NORMSDIST(Pricer!$B$16*(((LN(A12/Strike)+(Rate-DivYield+Vol^2/2)*Maturity)/(Vol*SQRT(Maturity)))-Vol*SQRT(Maturity))))</f>
        <v/>
      </c>
      <c r="C12" s="15">
        <f>MAX(Pricer!$B$16*(A12-Strike),0)</f>
        <v/>
      </c>
    </row>
    <row r="13">
      <c r="A13" s="15">
        <f>Strike*(0.5+11/40)</f>
        <v/>
      </c>
      <c r="B13" s="15">
        <f>Pricer!$B$16*(A13*EXP(-DivYield*Maturity)*NORMSDIST(Pricer!$B$16*((LN(A13/Strike)+(Rate-DivYield+Vol^2/2)*Maturity)/(Vol*SQRT(Maturity))))-Strike*EXP(-Rate*Maturity)*NORMSDIST(Pricer!$B$16*(((LN(A13/Strike)+(Rate-DivYield+Vol^2/2)*Maturity)/(Vol*SQRT(Maturity)))-Vol*SQRT(Maturity))))</f>
        <v/>
      </c>
      <c r="C13" s="15">
        <f>MAX(Pricer!$B$16*(A13-Strike),0)</f>
        <v/>
      </c>
    </row>
    <row r="14">
      <c r="A14" s="15">
        <f>Strike*(0.5+12/40)</f>
        <v/>
      </c>
      <c r="B14" s="15">
        <f>Pricer!$B$16*(A14*EXP(-DivYield*Maturity)*NORMSDIST(Pricer!$B$16*((LN(A14/Strike)+(Rate-DivYield+Vol^2/2)*Maturity)/(Vol*SQRT(Maturity))))-Strike*EXP(-Rate*Maturity)*NORMSDIST(Pricer!$B$16*(((LN(A14/Strike)+(Rate-DivYield+Vol^2/2)*Maturity)/(Vol*SQRT(Maturity)))-Vol*SQRT(Maturity))))</f>
        <v/>
      </c>
      <c r="C14" s="15">
        <f>MAX(Pricer!$B$16*(A14-Strike),0)</f>
        <v/>
      </c>
    </row>
    <row r="15">
      <c r="A15" s="15">
        <f>Strike*(0.5+13/40)</f>
        <v/>
      </c>
      <c r="B15" s="15">
        <f>Pricer!$B$16*(A15*EXP(-DivYield*Maturity)*NORMSDIST(Pricer!$B$16*((LN(A15/Strike)+(Rate-DivYield+Vol^2/2)*Maturity)/(Vol*SQRT(Maturity))))-Strike*EXP(-Rate*Maturity)*NORMSDIST(Pricer!$B$16*(((LN(A15/Strike)+(Rate-DivYield+Vol^2/2)*Maturity)/(Vol*SQRT(Maturity)))-Vol*SQRT(Maturity))))</f>
        <v/>
      </c>
      <c r="C15" s="15">
        <f>MAX(Pricer!$B$16*(A15-Strike),0)</f>
        <v/>
      </c>
    </row>
    <row r="16">
      <c r="A16" s="15">
        <f>Strike*(0.5+14/40)</f>
        <v/>
      </c>
      <c r="B16" s="15">
        <f>Pricer!$B$16*(A16*EXP(-DivYield*Maturity)*NORMSDIST(Pricer!$B$16*((LN(A16/Strike)+(Rate-DivYield+Vol^2/2)*Maturity)/(Vol*SQRT(Maturity))))-Strike*EXP(-Rate*Maturity)*NORMSDIST(Pricer!$B$16*(((LN(A16/Strike)+(Rate-DivYield+Vol^2/2)*Maturity)/(Vol*SQRT(Maturity)))-Vol*SQRT(Maturity))))</f>
        <v/>
      </c>
      <c r="C16" s="15">
        <f>MAX(Pricer!$B$16*(A16-Strike),0)</f>
        <v/>
      </c>
    </row>
    <row r="17">
      <c r="A17" s="15">
        <f>Strike*(0.5+15/40)</f>
        <v/>
      </c>
      <c r="B17" s="15">
        <f>Pricer!$B$16*(A17*EXP(-DivYield*Maturity)*NORMSDIST(Pricer!$B$16*((LN(A17/Strike)+(Rate-DivYield+Vol^2/2)*Maturity)/(Vol*SQRT(Maturity))))-Strike*EXP(-Rate*Maturity)*NORMSDIST(Pricer!$B$16*(((LN(A17/Strike)+(Rate-DivYield+Vol^2/2)*Maturity)/(Vol*SQRT(Maturity)))-Vol*SQRT(Maturity))))</f>
        <v/>
      </c>
      <c r="C17" s="15">
        <f>MAX(Pricer!$B$16*(A17-Strike),0)</f>
        <v/>
      </c>
    </row>
    <row r="18">
      <c r="A18" s="15">
        <f>Strike*(0.5+16/40)</f>
        <v/>
      </c>
      <c r="B18" s="15">
        <f>Pricer!$B$16*(A18*EXP(-DivYield*Maturity)*NORMSDIST(Pricer!$B$16*((LN(A18/Strike)+(Rate-DivYield+Vol^2/2)*Maturity)/(Vol*SQRT(Maturity))))-Strike*EXP(-Rate*Maturity)*NORMSDIST(Pricer!$B$16*(((LN(A18/Strike)+(Rate-DivYield+Vol^2/2)*Maturity)/(Vol*SQRT(Maturity)))-Vol*SQRT(Maturity))))</f>
        <v/>
      </c>
      <c r="C18" s="15">
        <f>MAX(Pricer!$B$16*(A18-Strike),0)</f>
        <v/>
      </c>
    </row>
    <row r="19">
      <c r="A19" s="15">
        <f>Strike*(0.5+17/40)</f>
        <v/>
      </c>
      <c r="B19" s="15">
        <f>Pricer!$B$16*(A19*EXP(-DivYield*Maturity)*NORMSDIST(Pricer!$B$16*((LN(A19/Strike)+(Rate-DivYield+Vol^2/2)*Maturity)/(Vol*SQRT(Maturity))))-Strike*EXP(-Rate*Maturity)*NORMSDIST(Pricer!$B$16*(((LN(A19/Strike)+(Rate-DivYield+Vol^2/2)*Maturity)/(Vol*SQRT(Maturity)))-Vol*SQRT(Maturity))))</f>
        <v/>
      </c>
      <c r="C19" s="15">
        <f>MAX(Pricer!$B$16*(A19-Strike),0)</f>
        <v/>
      </c>
    </row>
    <row r="20">
      <c r="A20" s="15">
        <f>Strike*(0.5+18/40)</f>
        <v/>
      </c>
      <c r="B20" s="15">
        <f>Pricer!$B$16*(A20*EXP(-DivYield*Maturity)*NORMSDIST(Pricer!$B$16*((LN(A20/Strike)+(Rate-DivYield+Vol^2/2)*Maturity)/(Vol*SQRT(Maturity))))-Strike*EXP(-Rate*Maturity)*NORMSDIST(Pricer!$B$16*(((LN(A20/Strike)+(Rate-DivYield+Vol^2/2)*Maturity)/(Vol*SQRT(Maturity)))-Vol*SQRT(Maturity))))</f>
        <v/>
      </c>
      <c r="C20" s="15">
        <f>MAX(Pricer!$B$16*(A20-Strike),0)</f>
        <v/>
      </c>
    </row>
    <row r="21">
      <c r="A21" s="15">
        <f>Strike*(0.5+19/40)</f>
        <v/>
      </c>
      <c r="B21" s="15">
        <f>Pricer!$B$16*(A21*EXP(-DivYield*Maturity)*NORMSDIST(Pricer!$B$16*((LN(A21/Strike)+(Rate-DivYield+Vol^2/2)*Maturity)/(Vol*SQRT(Maturity))))-Strike*EXP(-Rate*Maturity)*NORMSDIST(Pricer!$B$16*(((LN(A21/Strike)+(Rate-DivYield+Vol^2/2)*Maturity)/(Vol*SQRT(Maturity)))-Vol*SQRT(Maturity))))</f>
        <v/>
      </c>
      <c r="C21" s="15">
        <f>MAX(Pricer!$B$16*(A21-Strike),0)</f>
        <v/>
      </c>
    </row>
    <row r="22">
      <c r="A22" s="15">
        <f>Strike*(0.5+20/40)</f>
        <v/>
      </c>
      <c r="B22" s="15">
        <f>Pricer!$B$16*(A22*EXP(-DivYield*Maturity)*NORMSDIST(Pricer!$B$16*((LN(A22/Strike)+(Rate-DivYield+Vol^2/2)*Maturity)/(Vol*SQRT(Maturity))))-Strike*EXP(-Rate*Maturity)*NORMSDIST(Pricer!$B$16*(((LN(A22/Strike)+(Rate-DivYield+Vol^2/2)*Maturity)/(Vol*SQRT(Maturity)))-Vol*SQRT(Maturity))))</f>
        <v/>
      </c>
      <c r="C22" s="15">
        <f>MAX(Pricer!$B$16*(A22-Strike),0)</f>
        <v/>
      </c>
    </row>
    <row r="23">
      <c r="A23" s="15">
        <f>Strike*(0.5+21/40)</f>
        <v/>
      </c>
      <c r="B23" s="15">
        <f>Pricer!$B$16*(A23*EXP(-DivYield*Maturity)*NORMSDIST(Pricer!$B$16*((LN(A23/Strike)+(Rate-DivYield+Vol^2/2)*Maturity)/(Vol*SQRT(Maturity))))-Strike*EXP(-Rate*Maturity)*NORMSDIST(Pricer!$B$16*(((LN(A23/Strike)+(Rate-DivYield+Vol^2/2)*Maturity)/(Vol*SQRT(Maturity)))-Vol*SQRT(Maturity))))</f>
        <v/>
      </c>
      <c r="C23" s="15">
        <f>MAX(Pricer!$B$16*(A23-Strike),0)</f>
        <v/>
      </c>
    </row>
    <row r="24">
      <c r="A24" s="15">
        <f>Strike*(0.5+22/40)</f>
        <v/>
      </c>
      <c r="B24" s="15">
        <f>Pricer!$B$16*(A24*EXP(-DivYield*Maturity)*NORMSDIST(Pricer!$B$16*((LN(A24/Strike)+(Rate-DivYield+Vol^2/2)*Maturity)/(Vol*SQRT(Maturity))))-Strike*EXP(-Rate*Maturity)*NORMSDIST(Pricer!$B$16*(((LN(A24/Strike)+(Rate-DivYield+Vol^2/2)*Maturity)/(Vol*SQRT(Maturity)))-Vol*SQRT(Maturity))))</f>
        <v/>
      </c>
      <c r="C24" s="15">
        <f>MAX(Pricer!$B$16*(A24-Strike),0)</f>
        <v/>
      </c>
    </row>
    <row r="25">
      <c r="A25" s="15">
        <f>Strike*(0.5+23/40)</f>
        <v/>
      </c>
      <c r="B25" s="15">
        <f>Pricer!$B$16*(A25*EXP(-DivYield*Maturity)*NORMSDIST(Pricer!$B$16*((LN(A25/Strike)+(Rate-DivYield+Vol^2/2)*Maturity)/(Vol*SQRT(Maturity))))-Strike*EXP(-Rate*Maturity)*NORMSDIST(Pricer!$B$16*(((LN(A25/Strike)+(Rate-DivYield+Vol^2/2)*Maturity)/(Vol*SQRT(Maturity)))-Vol*SQRT(Maturity))))</f>
        <v/>
      </c>
      <c r="C25" s="15">
        <f>MAX(Pricer!$B$16*(A25-Strike),0)</f>
        <v/>
      </c>
    </row>
    <row r="26">
      <c r="A26" s="15">
        <f>Strike*(0.5+24/40)</f>
        <v/>
      </c>
      <c r="B26" s="15">
        <f>Pricer!$B$16*(A26*EXP(-DivYield*Maturity)*NORMSDIST(Pricer!$B$16*((LN(A26/Strike)+(Rate-DivYield+Vol^2/2)*Maturity)/(Vol*SQRT(Maturity))))-Strike*EXP(-Rate*Maturity)*NORMSDIST(Pricer!$B$16*(((LN(A26/Strike)+(Rate-DivYield+Vol^2/2)*Maturity)/(Vol*SQRT(Maturity)))-Vol*SQRT(Maturity))))</f>
        <v/>
      </c>
      <c r="C26" s="15">
        <f>MAX(Pricer!$B$16*(A26-Strike),0)</f>
        <v/>
      </c>
    </row>
    <row r="27">
      <c r="A27" s="15">
        <f>Strike*(0.5+25/40)</f>
        <v/>
      </c>
      <c r="B27" s="15">
        <f>Pricer!$B$16*(A27*EXP(-DivYield*Maturity)*NORMSDIST(Pricer!$B$16*((LN(A27/Strike)+(Rate-DivYield+Vol^2/2)*Maturity)/(Vol*SQRT(Maturity))))-Strike*EXP(-Rate*Maturity)*NORMSDIST(Pricer!$B$16*(((LN(A27/Strike)+(Rate-DivYield+Vol^2/2)*Maturity)/(Vol*SQRT(Maturity)))-Vol*SQRT(Maturity))))</f>
        <v/>
      </c>
      <c r="C27" s="15">
        <f>MAX(Pricer!$B$16*(A27-Strike),0)</f>
        <v/>
      </c>
    </row>
    <row r="28">
      <c r="A28" s="15">
        <f>Strike*(0.5+26/40)</f>
        <v/>
      </c>
      <c r="B28" s="15">
        <f>Pricer!$B$16*(A28*EXP(-DivYield*Maturity)*NORMSDIST(Pricer!$B$16*((LN(A28/Strike)+(Rate-DivYield+Vol^2/2)*Maturity)/(Vol*SQRT(Maturity))))-Strike*EXP(-Rate*Maturity)*NORMSDIST(Pricer!$B$16*(((LN(A28/Strike)+(Rate-DivYield+Vol^2/2)*Maturity)/(Vol*SQRT(Maturity)))-Vol*SQRT(Maturity))))</f>
        <v/>
      </c>
      <c r="C28" s="15">
        <f>MAX(Pricer!$B$16*(A28-Strike),0)</f>
        <v/>
      </c>
    </row>
    <row r="29">
      <c r="A29" s="15">
        <f>Strike*(0.5+27/40)</f>
        <v/>
      </c>
      <c r="B29" s="15">
        <f>Pricer!$B$16*(A29*EXP(-DivYield*Maturity)*NORMSDIST(Pricer!$B$16*((LN(A29/Strike)+(Rate-DivYield+Vol^2/2)*Maturity)/(Vol*SQRT(Maturity))))-Strike*EXP(-Rate*Maturity)*NORMSDIST(Pricer!$B$16*(((LN(A29/Strike)+(Rate-DivYield+Vol^2/2)*Maturity)/(Vol*SQRT(Maturity)))-Vol*SQRT(Maturity))))</f>
        <v/>
      </c>
      <c r="C29" s="15">
        <f>MAX(Pricer!$B$16*(A29-Strike),0)</f>
        <v/>
      </c>
    </row>
    <row r="30">
      <c r="A30" s="15">
        <f>Strike*(0.5+28/40)</f>
        <v/>
      </c>
      <c r="B30" s="15">
        <f>Pricer!$B$16*(A30*EXP(-DivYield*Maturity)*NORMSDIST(Pricer!$B$16*((LN(A30/Strike)+(Rate-DivYield+Vol^2/2)*Maturity)/(Vol*SQRT(Maturity))))-Strike*EXP(-Rate*Maturity)*NORMSDIST(Pricer!$B$16*(((LN(A30/Strike)+(Rate-DivYield+Vol^2/2)*Maturity)/(Vol*SQRT(Maturity)))-Vol*SQRT(Maturity))))</f>
        <v/>
      </c>
      <c r="C30" s="15">
        <f>MAX(Pricer!$B$16*(A30-Strike),0)</f>
        <v/>
      </c>
    </row>
    <row r="31">
      <c r="A31" s="15">
        <f>Strike*(0.5+29/40)</f>
        <v/>
      </c>
      <c r="B31" s="15">
        <f>Pricer!$B$16*(A31*EXP(-DivYield*Maturity)*NORMSDIST(Pricer!$B$16*((LN(A31/Strike)+(Rate-DivYield+Vol^2/2)*Maturity)/(Vol*SQRT(Maturity))))-Strike*EXP(-Rate*Maturity)*NORMSDIST(Pricer!$B$16*(((LN(A31/Strike)+(Rate-DivYield+Vol^2/2)*Maturity)/(Vol*SQRT(Maturity)))-Vol*SQRT(Maturity))))</f>
        <v/>
      </c>
      <c r="C31" s="15">
        <f>MAX(Pricer!$B$16*(A31-Strike),0)</f>
        <v/>
      </c>
    </row>
    <row r="32">
      <c r="A32" s="15">
        <f>Strike*(0.5+30/40)</f>
        <v/>
      </c>
      <c r="B32" s="15">
        <f>Pricer!$B$16*(A32*EXP(-DivYield*Maturity)*NORMSDIST(Pricer!$B$16*((LN(A32/Strike)+(Rate-DivYield+Vol^2/2)*Maturity)/(Vol*SQRT(Maturity))))-Strike*EXP(-Rate*Maturity)*NORMSDIST(Pricer!$B$16*(((LN(A32/Strike)+(Rate-DivYield+Vol^2/2)*Maturity)/(Vol*SQRT(Maturity)))-Vol*SQRT(Maturity))))</f>
        <v/>
      </c>
      <c r="C32" s="15">
        <f>MAX(Pricer!$B$16*(A32-Strike),0)</f>
        <v/>
      </c>
    </row>
    <row r="33">
      <c r="A33" s="15">
        <f>Strike*(0.5+31/40)</f>
        <v/>
      </c>
      <c r="B33" s="15">
        <f>Pricer!$B$16*(A33*EXP(-DivYield*Maturity)*NORMSDIST(Pricer!$B$16*((LN(A33/Strike)+(Rate-DivYield+Vol^2/2)*Maturity)/(Vol*SQRT(Maturity))))-Strike*EXP(-Rate*Maturity)*NORMSDIST(Pricer!$B$16*(((LN(A33/Strike)+(Rate-DivYield+Vol^2/2)*Maturity)/(Vol*SQRT(Maturity)))-Vol*SQRT(Maturity))))</f>
        <v/>
      </c>
      <c r="C33" s="15">
        <f>MAX(Pricer!$B$16*(A33-Strike),0)</f>
        <v/>
      </c>
    </row>
    <row r="34">
      <c r="A34" s="15">
        <f>Strike*(0.5+32/40)</f>
        <v/>
      </c>
      <c r="B34" s="15">
        <f>Pricer!$B$16*(A34*EXP(-DivYield*Maturity)*NORMSDIST(Pricer!$B$16*((LN(A34/Strike)+(Rate-DivYield+Vol^2/2)*Maturity)/(Vol*SQRT(Maturity))))-Strike*EXP(-Rate*Maturity)*NORMSDIST(Pricer!$B$16*(((LN(A34/Strike)+(Rate-DivYield+Vol^2/2)*Maturity)/(Vol*SQRT(Maturity)))-Vol*SQRT(Maturity))))</f>
        <v/>
      </c>
      <c r="C34" s="15">
        <f>MAX(Pricer!$B$16*(A34-Strike),0)</f>
        <v/>
      </c>
    </row>
    <row r="35">
      <c r="A35" s="15">
        <f>Strike*(0.5+33/40)</f>
        <v/>
      </c>
      <c r="B35" s="15">
        <f>Pricer!$B$16*(A35*EXP(-DivYield*Maturity)*NORMSDIST(Pricer!$B$16*((LN(A35/Strike)+(Rate-DivYield+Vol^2/2)*Maturity)/(Vol*SQRT(Maturity))))-Strike*EXP(-Rate*Maturity)*NORMSDIST(Pricer!$B$16*(((LN(A35/Strike)+(Rate-DivYield+Vol^2/2)*Maturity)/(Vol*SQRT(Maturity)))-Vol*SQRT(Maturity))))</f>
        <v/>
      </c>
      <c r="C35" s="15">
        <f>MAX(Pricer!$B$16*(A35-Strike),0)</f>
        <v/>
      </c>
    </row>
    <row r="36">
      <c r="A36" s="15">
        <f>Strike*(0.5+34/40)</f>
        <v/>
      </c>
      <c r="B36" s="15">
        <f>Pricer!$B$16*(A36*EXP(-DivYield*Maturity)*NORMSDIST(Pricer!$B$16*((LN(A36/Strike)+(Rate-DivYield+Vol^2/2)*Maturity)/(Vol*SQRT(Maturity))))-Strike*EXP(-Rate*Maturity)*NORMSDIST(Pricer!$B$16*(((LN(A36/Strike)+(Rate-DivYield+Vol^2/2)*Maturity)/(Vol*SQRT(Maturity)))-Vol*SQRT(Maturity))))</f>
        <v/>
      </c>
      <c r="C36" s="15">
        <f>MAX(Pricer!$B$16*(A36-Strike),0)</f>
        <v/>
      </c>
    </row>
    <row r="37">
      <c r="A37" s="15">
        <f>Strike*(0.5+35/40)</f>
        <v/>
      </c>
      <c r="B37" s="15">
        <f>Pricer!$B$16*(A37*EXP(-DivYield*Maturity)*NORMSDIST(Pricer!$B$16*((LN(A37/Strike)+(Rate-DivYield+Vol^2/2)*Maturity)/(Vol*SQRT(Maturity))))-Strike*EXP(-Rate*Maturity)*NORMSDIST(Pricer!$B$16*(((LN(A37/Strike)+(Rate-DivYield+Vol^2/2)*Maturity)/(Vol*SQRT(Maturity)))-Vol*SQRT(Maturity))))</f>
        <v/>
      </c>
      <c r="C37" s="15">
        <f>MAX(Pricer!$B$16*(A37-Strike),0)</f>
        <v/>
      </c>
    </row>
    <row r="38">
      <c r="A38" s="15">
        <f>Strike*(0.5+36/40)</f>
        <v/>
      </c>
      <c r="B38" s="15">
        <f>Pricer!$B$16*(A38*EXP(-DivYield*Maturity)*NORMSDIST(Pricer!$B$16*((LN(A38/Strike)+(Rate-DivYield+Vol^2/2)*Maturity)/(Vol*SQRT(Maturity))))-Strike*EXP(-Rate*Maturity)*NORMSDIST(Pricer!$B$16*(((LN(A38/Strike)+(Rate-DivYield+Vol^2/2)*Maturity)/(Vol*SQRT(Maturity)))-Vol*SQRT(Maturity))))</f>
        <v/>
      </c>
      <c r="C38" s="15">
        <f>MAX(Pricer!$B$16*(A38-Strike),0)</f>
        <v/>
      </c>
    </row>
    <row r="39">
      <c r="A39" s="15">
        <f>Strike*(0.5+37/40)</f>
        <v/>
      </c>
      <c r="B39" s="15">
        <f>Pricer!$B$16*(A39*EXP(-DivYield*Maturity)*NORMSDIST(Pricer!$B$16*((LN(A39/Strike)+(Rate-DivYield+Vol^2/2)*Maturity)/(Vol*SQRT(Maturity))))-Strike*EXP(-Rate*Maturity)*NORMSDIST(Pricer!$B$16*(((LN(A39/Strike)+(Rate-DivYield+Vol^2/2)*Maturity)/(Vol*SQRT(Maturity)))-Vol*SQRT(Maturity))))</f>
        <v/>
      </c>
      <c r="C39" s="15">
        <f>MAX(Pricer!$B$16*(A39-Strike),0)</f>
        <v/>
      </c>
    </row>
    <row r="40">
      <c r="A40" s="15">
        <f>Strike*(0.5+38/40)</f>
        <v/>
      </c>
      <c r="B40" s="15">
        <f>Pricer!$B$16*(A40*EXP(-DivYield*Maturity)*NORMSDIST(Pricer!$B$16*((LN(A40/Strike)+(Rate-DivYield+Vol^2/2)*Maturity)/(Vol*SQRT(Maturity))))-Strike*EXP(-Rate*Maturity)*NORMSDIST(Pricer!$B$16*(((LN(A40/Strike)+(Rate-DivYield+Vol^2/2)*Maturity)/(Vol*SQRT(Maturity)))-Vol*SQRT(Maturity))))</f>
        <v/>
      </c>
      <c r="C40" s="15">
        <f>MAX(Pricer!$B$16*(A40-Strike),0)</f>
        <v/>
      </c>
    </row>
    <row r="41">
      <c r="A41" s="15">
        <f>Strike*(0.5+39/40)</f>
        <v/>
      </c>
      <c r="B41" s="15">
        <f>Pricer!$B$16*(A41*EXP(-DivYield*Maturity)*NORMSDIST(Pricer!$B$16*((LN(A41/Strike)+(Rate-DivYield+Vol^2/2)*Maturity)/(Vol*SQRT(Maturity))))-Strike*EXP(-Rate*Maturity)*NORMSDIST(Pricer!$B$16*(((LN(A41/Strike)+(Rate-DivYield+Vol^2/2)*Maturity)/(Vol*SQRT(Maturity)))-Vol*SQRT(Maturity))))</f>
        <v/>
      </c>
      <c r="C41" s="15">
        <f>MAX(Pricer!$B$16*(A41-Strike),0)</f>
        <v/>
      </c>
    </row>
    <row r="42">
      <c r="A42" s="15">
        <f>Strike*(0.5+40/40)</f>
        <v/>
      </c>
      <c r="B42" s="15">
        <f>Pricer!$B$16*(A42*EXP(-DivYield*Maturity)*NORMSDIST(Pricer!$B$16*((LN(A42/Strike)+(Rate-DivYield+Vol^2/2)*Maturity)/(Vol*SQRT(Maturity))))-Strike*EXP(-Rate*Maturity)*NORMSDIST(Pricer!$B$16*(((LN(A42/Strike)+(Rate-DivYield+Vol^2/2)*Maturity)/(Vol*SQRT(Maturity)))-Vol*SQRT(Maturity))))</f>
        <v/>
      </c>
      <c r="C42" s="15">
        <f>MAX(Pricer!$B$16*(A42-Strike),0)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6" t="inlineStr">
        <is>
          <t>Model: Black-Scholes-Merton for European options, continuous dividend yield.</t>
        </is>
      </c>
    </row>
    <row r="2">
      <c r="A2" s="16" t="inlineStr">
        <is>
          <t>Uses only long-standing functions (NORMSDIST, LN, EXP), so it works in any Excel version and LibreOffice.</t>
        </is>
      </c>
    </row>
    <row r="3">
      <c r="A3" s="16" t="inlineStr">
        <is>
          <t>Greeks: vega and rho per 1 percentage point, theta per calendar day (annual / 365).</t>
        </is>
      </c>
    </row>
    <row r="4">
      <c r="A4" s="16" t="inlineStr">
        <is>
          <t>The 'Monte Carlo' sheet holds values precomputed in Python (python excel/build_workbook.py); they do not follow the yellow input cells.</t>
        </is>
      </c>
    </row>
    <row r="5">
      <c r="A5" s="16" t="inlineStr">
        <is>
          <t>American options are priced in Python (CRR tree, Longstaff-Schwartz); results are on the Monte Carlo sheet.</t>
        </is>
      </c>
    </row>
    <row r="6">
      <c r="A6" s="16" t="inlineStr">
        <is>
          <t>Optional: vba/BlackScholes.bas adds a =BS_PRICE(...) user function (see README).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2026-10-26T13:25:28Z</dcterms:created>
  <dcterms:modified xsi:type="dcterms:W3CDTF">2026-10-26T13:25:29Z</dcterms:modified>
</cp:coreProperties>
</file>