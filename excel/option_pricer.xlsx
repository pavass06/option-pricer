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r" sheetId="1" state="visible" r:id="rId1"/>
    <sheet name="Chart data" sheetId="2" state="visible" r:id="rId2"/>
    <sheet name="Notes" sheetId="3" state="visible" r:id="rId3"/>
  </sheets>
  <definedNames>
    <definedName name="Spot">Pricer!$B$5</definedName>
    <definedName name="Strike">Pricer!$B$6</definedName>
    <definedName name="Maturity">Pricer!$B$7</definedName>
    <definedName name="Rate">Pricer!$B$8</definedName>
    <definedName name="Vol">Pricer!$B$9</definedName>
    <definedName name="DivYield">Pricer!$B$10</definedName>
    <definedName name="OptType">Pricer!$B$11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color rgb="00FFFFFF"/>
    </font>
    <font>
      <color rgb="00888888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1" pivotButton="0" quotePrefix="0" xfId="0"/>
    <xf numFmtId="0" fontId="4" fillId="0" borderId="0" pivotButton="0" quotePrefix="0" xfId="0"/>
    <xf numFmtId="10" fontId="0" fillId="3" borderId="1" pivotButton="0" quotePrefix="0" xfId="0"/>
    <xf numFmtId="164" fontId="0" fillId="0" borderId="0" pivotButton="0" quotePrefix="0" xfId="0"/>
    <xf numFmtId="0" fontId="5" fillId="0" borderId="0" pivotButton="0" quotePrefix="0" xfId="0"/>
    <xf numFmtId="164" fontId="5" fillId="0" borderId="1" pivotButton="0" quotePrefix="0" xfId="0"/>
    <xf numFmtId="0" fontId="6" fillId="0" borderId="0" pivotButton="0" quotePrefix="0" xfId="0"/>
    <xf numFmtId="164" fontId="0" fillId="0" borderId="1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Option price vs spot (today) and payoff at maturity</a:t>
            </a:r>
          </a:p>
        </rich>
      </tx>
    </title>
    <plotArea>
      <lineChart>
        <grouping val="standard"/>
        <ser>
          <idx val="0"/>
          <order val="0"/>
          <tx>
            <strRef>
              <f>'Chart 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data'!$A$2:$A$42</f>
            </numRef>
          </cat>
          <val>
            <numRef>
              <f>'Chart data'!$B$2:$B$42</f>
            </numRef>
          </val>
        </ser>
        <ser>
          <idx val="1"/>
          <order val="1"/>
          <tx>
            <strRef>
              <f>'Chart data'!C1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data'!$A$2:$A$42</f>
            </numRef>
          </cat>
          <val>
            <numRef>
              <f>'Chart data'!$C$2:$C$42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Spot</a:t>
                </a:r>
              </a:p>
            </rich>
          </tx>
        </title>
        <numFmt formatCode="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61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46" customWidth="1" min="3" max="3"/>
  </cols>
  <sheetData>
    <row r="1">
      <c r="A1" s="1" t="inlineStr">
        <is>
          <t>Black-Scholes option pricer</t>
        </is>
      </c>
    </row>
    <row r="2">
      <c r="A2" s="2" t="inlineStr">
        <is>
          <t>Edit the yellow cells. Everything else is computed with Excel formulas.</t>
        </is>
      </c>
    </row>
    <row r="4">
      <c r="A4" s="3" t="inlineStr">
        <is>
          <t>Inputs</t>
        </is>
      </c>
    </row>
    <row r="5">
      <c r="A5" t="inlineStr">
        <is>
          <t>Spot (S)</t>
        </is>
      </c>
      <c r="B5" s="4" t="n">
        <v>100</v>
      </c>
      <c r="C5" s="5" t="inlineStr">
        <is>
          <t>Underlying price</t>
        </is>
      </c>
    </row>
    <row r="6">
      <c r="A6" t="inlineStr">
        <is>
          <t>Strike (K)</t>
        </is>
      </c>
      <c r="B6" s="4" t="n">
        <v>100</v>
      </c>
      <c r="C6" s="5" t="inlineStr"/>
    </row>
    <row r="7">
      <c r="A7" t="inlineStr">
        <is>
          <t>Maturity in years (T)</t>
        </is>
      </c>
      <c r="B7" s="4" t="n">
        <v>1</v>
      </c>
      <c r="C7" s="5" t="inlineStr">
        <is>
          <t>e.g. 0.5 = 6 months</t>
        </is>
      </c>
    </row>
    <row r="8">
      <c r="A8" t="inlineStr">
        <is>
          <t>Risk-free rate (r)</t>
        </is>
      </c>
      <c r="B8" s="6" t="n">
        <v>0.05</v>
      </c>
      <c r="C8" s="5" t="inlineStr">
        <is>
          <t>Continuously compounded</t>
        </is>
      </c>
    </row>
    <row r="9">
      <c r="A9" t="inlineStr">
        <is>
          <t>Volatility (sigma)</t>
        </is>
      </c>
      <c r="B9" s="6" t="n">
        <v>0.2</v>
      </c>
      <c r="C9" s="5" t="inlineStr">
        <is>
          <t>Annualised</t>
        </is>
      </c>
    </row>
    <row r="10">
      <c r="A10" t="inlineStr">
        <is>
          <t>Dividend yield (q)</t>
        </is>
      </c>
      <c r="B10" s="6" t="n">
        <v>0</v>
      </c>
      <c r="C10" s="5" t="inlineStr">
        <is>
          <t>Continuous</t>
        </is>
      </c>
    </row>
    <row r="11">
      <c r="A11" t="inlineStr">
        <is>
          <t>Type (Call / Put)</t>
        </is>
      </c>
      <c r="B11" s="4" t="inlineStr">
        <is>
          <t>Call</t>
        </is>
      </c>
      <c r="C11" s="5" t="inlineStr">
        <is>
          <t>Drop-down list</t>
        </is>
      </c>
    </row>
    <row r="13">
      <c r="A13" s="3" t="inlineStr">
        <is>
          <t>Intermediate</t>
        </is>
      </c>
    </row>
    <row r="14">
      <c r="A14" t="inlineStr">
        <is>
          <t>d1</t>
        </is>
      </c>
      <c r="B14" s="7">
        <f>(LN(Spot/Strike)+(Rate-DivYield+Vol^2/2)*Maturity)/(Vol*SQRT(Maturity))</f>
        <v/>
      </c>
    </row>
    <row r="15">
      <c r="A15" t="inlineStr">
        <is>
          <t>d2</t>
        </is>
      </c>
      <c r="B15" s="7">
        <f>B14-Vol*SQRT(Maturity)</f>
        <v/>
      </c>
    </row>
    <row r="16">
      <c r="A16" t="inlineStr">
        <is>
          <t>Sign (+1 call, -1 put)</t>
        </is>
      </c>
      <c r="B16">
        <f>IF(OptType="Call",1,-1)</f>
        <v/>
      </c>
    </row>
    <row r="18">
      <c r="A18" s="3" t="inlineStr">
        <is>
          <t>Results</t>
        </is>
      </c>
    </row>
    <row r="19">
      <c r="A19" s="8" t="inlineStr">
        <is>
          <t>Price</t>
        </is>
      </c>
      <c r="B19" s="9">
        <f>B16*(Spot*EXP(-DivYield*Maturity)*NORMSDIST(B16*B14)-Strike*EXP(-Rate*Maturity)*NORMSDIST(B16*B15))</f>
        <v/>
      </c>
      <c r="C19" s="5" t="inlineStr"/>
    </row>
    <row r="20">
      <c r="A20" s="10" t="inlineStr">
        <is>
          <t>Delta</t>
        </is>
      </c>
      <c r="B20" s="11">
        <f>B16*EXP(-DivYield*Maturity)*NORMSDIST(B16*B14)</f>
        <v/>
      </c>
      <c r="C20" s="5" t="inlineStr">
        <is>
          <t>per 1 unit of spot</t>
        </is>
      </c>
    </row>
    <row r="21">
      <c r="A21" s="10" t="inlineStr">
        <is>
          <t>Gamma</t>
        </is>
      </c>
      <c r="B21" s="11">
        <f>EXP(-DivYield*Maturity)*EXP(-B14^2/2)/SQRT(2*PI())/(Spot*Vol*SQRT(Maturity))</f>
        <v/>
      </c>
      <c r="C21" s="5" t="inlineStr"/>
    </row>
    <row r="22">
      <c r="A22" s="10" t="inlineStr">
        <is>
          <t>Vega (per 1 vol point)</t>
        </is>
      </c>
      <c r="B22" s="11">
        <f>Spot*EXP(-DivYield*Maturity)*EXP(-B14^2/2)/SQRT(2*PI())*SQRT(Maturity)/100</f>
        <v/>
      </c>
      <c r="C22" s="5" t="inlineStr">
        <is>
          <t>change for +1% volatility</t>
        </is>
      </c>
    </row>
    <row r="23">
      <c r="A23" s="10" t="inlineStr">
        <is>
          <t>Theta (per calendar day)</t>
        </is>
      </c>
      <c r="B23" s="11">
        <f>(-Spot*EXP(-DivYield*Maturity)*EXP(-B14^2/2)/SQRT(2*PI())*Vol/(2*SQRT(Maturity))-B16*Rate*Strike*EXP(-Rate*Maturity)*NORMSDIST(B16*B15)+B16*DivYield*Spot*EXP(-DivYield*Maturity)*NORMSDIST(B16*B14))/365</f>
        <v/>
      </c>
      <c r="C23" s="5" t="inlineStr">
        <is>
          <t>annual theta / 365</t>
        </is>
      </c>
    </row>
    <row r="24">
      <c r="A24" s="10" t="inlineStr">
        <is>
          <t>Rho (per 1% rate)</t>
        </is>
      </c>
      <c r="B24" s="11">
        <f>B16*Strike*Maturity*EXP(-Rate*Maturity)*NORMSDIST(B16*B15)/100</f>
        <v/>
      </c>
      <c r="C24" s="5" t="inlineStr">
        <is>
          <t>change for +1% rate</t>
        </is>
      </c>
    </row>
    <row r="25">
      <c r="A25" s="10" t="inlineStr">
        <is>
          <t>Forward value S.e^(-qT) - K.e^(-rT)</t>
        </is>
      </c>
      <c r="B25" s="11">
        <f>Spot*EXP(-DivYield*Maturity)-Strike*EXP(-Rate*Maturity)</f>
        <v/>
      </c>
      <c r="C25" s="5" t="inlineStr">
        <is>
          <t>C - P should equal this</t>
        </is>
      </c>
    </row>
  </sheetData>
  <dataValidations count="1">
    <dataValidation sqref="B11" showDropDown="0" showInputMessage="0" showErrorMessage="0" allowBlank="0" type="list">
      <formula1>"Call,Put"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</cols>
  <sheetData>
    <row r="1">
      <c r="A1" s="3" t="inlineStr">
        <is>
          <t>Spot</t>
        </is>
      </c>
      <c r="B1" s="3" t="inlineStr">
        <is>
          <t>Option price</t>
        </is>
      </c>
      <c r="C1" s="3" t="inlineStr">
        <is>
          <t>Payoff</t>
        </is>
      </c>
    </row>
    <row r="2">
      <c r="A2" s="12">
        <f>Strike*(0.5+0/40)</f>
        <v/>
      </c>
      <c r="B2" s="12">
        <f>Pricer!$B$16*(A2*EXP(-DivYield*Maturity)*NORMSDIST(Pricer!$B$16*((LN(A2/Strike)+(Rate-DivYield+Vol^2/2)*Maturity)/(Vol*SQRT(Maturity))))-Strike*EXP(-Rate*Maturity)*NORMSDIST(Pricer!$B$16*(((LN(A2/Strike)+(Rate-DivYield+Vol^2/2)*Maturity)/(Vol*SQRT(Maturity)))-Vol*SQRT(Maturity))))</f>
        <v/>
      </c>
      <c r="C2" s="12">
        <f>MAX(Pricer!$B$16*(A2-Strike),0)</f>
        <v/>
      </c>
    </row>
    <row r="3">
      <c r="A3" s="12">
        <f>Strike*(0.5+1/40)</f>
        <v/>
      </c>
      <c r="B3" s="12">
        <f>Pricer!$B$16*(A3*EXP(-DivYield*Maturity)*NORMSDIST(Pricer!$B$16*((LN(A3/Strike)+(Rate-DivYield+Vol^2/2)*Maturity)/(Vol*SQRT(Maturity))))-Strike*EXP(-Rate*Maturity)*NORMSDIST(Pricer!$B$16*(((LN(A3/Strike)+(Rate-DivYield+Vol^2/2)*Maturity)/(Vol*SQRT(Maturity)))-Vol*SQRT(Maturity))))</f>
        <v/>
      </c>
      <c r="C3" s="12">
        <f>MAX(Pricer!$B$16*(A3-Strike),0)</f>
        <v/>
      </c>
    </row>
    <row r="4">
      <c r="A4" s="12">
        <f>Strike*(0.5+2/40)</f>
        <v/>
      </c>
      <c r="B4" s="12">
        <f>Pricer!$B$16*(A4*EXP(-DivYield*Maturity)*NORMSDIST(Pricer!$B$16*((LN(A4/Strike)+(Rate-DivYield+Vol^2/2)*Maturity)/(Vol*SQRT(Maturity))))-Strike*EXP(-Rate*Maturity)*NORMSDIST(Pricer!$B$16*(((LN(A4/Strike)+(Rate-DivYield+Vol^2/2)*Maturity)/(Vol*SQRT(Maturity)))-Vol*SQRT(Maturity))))</f>
        <v/>
      </c>
      <c r="C4" s="12">
        <f>MAX(Pricer!$B$16*(A4-Strike),0)</f>
        <v/>
      </c>
    </row>
    <row r="5">
      <c r="A5" s="12">
        <f>Strike*(0.5+3/40)</f>
        <v/>
      </c>
      <c r="B5" s="12">
        <f>Pricer!$B$16*(A5*EXP(-DivYield*Maturity)*NORMSDIST(Pricer!$B$16*((LN(A5/Strike)+(Rate-DivYield+Vol^2/2)*Maturity)/(Vol*SQRT(Maturity))))-Strike*EXP(-Rate*Maturity)*NORMSDIST(Pricer!$B$16*(((LN(A5/Strike)+(Rate-DivYield+Vol^2/2)*Maturity)/(Vol*SQRT(Maturity)))-Vol*SQRT(Maturity))))</f>
        <v/>
      </c>
      <c r="C5" s="12">
        <f>MAX(Pricer!$B$16*(A5-Strike),0)</f>
        <v/>
      </c>
    </row>
    <row r="6">
      <c r="A6" s="12">
        <f>Strike*(0.5+4/40)</f>
        <v/>
      </c>
      <c r="B6" s="12">
        <f>Pricer!$B$16*(A6*EXP(-DivYield*Maturity)*NORMSDIST(Pricer!$B$16*((LN(A6/Strike)+(Rate-DivYield+Vol^2/2)*Maturity)/(Vol*SQRT(Maturity))))-Strike*EXP(-Rate*Maturity)*NORMSDIST(Pricer!$B$16*(((LN(A6/Strike)+(Rate-DivYield+Vol^2/2)*Maturity)/(Vol*SQRT(Maturity)))-Vol*SQRT(Maturity))))</f>
        <v/>
      </c>
      <c r="C6" s="12">
        <f>MAX(Pricer!$B$16*(A6-Strike),0)</f>
        <v/>
      </c>
    </row>
    <row r="7">
      <c r="A7" s="12">
        <f>Strike*(0.5+5/40)</f>
        <v/>
      </c>
      <c r="B7" s="12">
        <f>Pricer!$B$16*(A7*EXP(-DivYield*Maturity)*NORMSDIST(Pricer!$B$16*((LN(A7/Strike)+(Rate-DivYield+Vol^2/2)*Maturity)/(Vol*SQRT(Maturity))))-Strike*EXP(-Rate*Maturity)*NORMSDIST(Pricer!$B$16*(((LN(A7/Strike)+(Rate-DivYield+Vol^2/2)*Maturity)/(Vol*SQRT(Maturity)))-Vol*SQRT(Maturity))))</f>
        <v/>
      </c>
      <c r="C7" s="12">
        <f>MAX(Pricer!$B$16*(A7-Strike),0)</f>
        <v/>
      </c>
    </row>
    <row r="8">
      <c r="A8" s="12">
        <f>Strike*(0.5+6/40)</f>
        <v/>
      </c>
      <c r="B8" s="12">
        <f>Pricer!$B$16*(A8*EXP(-DivYield*Maturity)*NORMSDIST(Pricer!$B$16*((LN(A8/Strike)+(Rate-DivYield+Vol^2/2)*Maturity)/(Vol*SQRT(Maturity))))-Strike*EXP(-Rate*Maturity)*NORMSDIST(Pricer!$B$16*(((LN(A8/Strike)+(Rate-DivYield+Vol^2/2)*Maturity)/(Vol*SQRT(Maturity)))-Vol*SQRT(Maturity))))</f>
        <v/>
      </c>
      <c r="C8" s="12">
        <f>MAX(Pricer!$B$16*(A8-Strike),0)</f>
        <v/>
      </c>
    </row>
    <row r="9">
      <c r="A9" s="12">
        <f>Strike*(0.5+7/40)</f>
        <v/>
      </c>
      <c r="B9" s="12">
        <f>Pricer!$B$16*(A9*EXP(-DivYield*Maturity)*NORMSDIST(Pricer!$B$16*((LN(A9/Strike)+(Rate-DivYield+Vol^2/2)*Maturity)/(Vol*SQRT(Maturity))))-Strike*EXP(-Rate*Maturity)*NORMSDIST(Pricer!$B$16*(((LN(A9/Strike)+(Rate-DivYield+Vol^2/2)*Maturity)/(Vol*SQRT(Maturity)))-Vol*SQRT(Maturity))))</f>
        <v/>
      </c>
      <c r="C9" s="12">
        <f>MAX(Pricer!$B$16*(A9-Strike),0)</f>
        <v/>
      </c>
    </row>
    <row r="10">
      <c r="A10" s="12">
        <f>Strike*(0.5+8/40)</f>
        <v/>
      </c>
      <c r="B10" s="12">
        <f>Pricer!$B$16*(A10*EXP(-DivYield*Maturity)*NORMSDIST(Pricer!$B$16*((LN(A10/Strike)+(Rate-DivYield+Vol^2/2)*Maturity)/(Vol*SQRT(Maturity))))-Strike*EXP(-Rate*Maturity)*NORMSDIST(Pricer!$B$16*(((LN(A10/Strike)+(Rate-DivYield+Vol^2/2)*Maturity)/(Vol*SQRT(Maturity)))-Vol*SQRT(Maturity))))</f>
        <v/>
      </c>
      <c r="C10" s="12">
        <f>MAX(Pricer!$B$16*(A10-Strike),0)</f>
        <v/>
      </c>
    </row>
    <row r="11">
      <c r="A11" s="12">
        <f>Strike*(0.5+9/40)</f>
        <v/>
      </c>
      <c r="B11" s="12">
        <f>Pricer!$B$16*(A11*EXP(-DivYield*Maturity)*NORMSDIST(Pricer!$B$16*((LN(A11/Strike)+(Rate-DivYield+Vol^2/2)*Maturity)/(Vol*SQRT(Maturity))))-Strike*EXP(-Rate*Maturity)*NORMSDIST(Pricer!$B$16*(((LN(A11/Strike)+(Rate-DivYield+Vol^2/2)*Maturity)/(Vol*SQRT(Maturity)))-Vol*SQRT(Maturity))))</f>
        <v/>
      </c>
      <c r="C11" s="12">
        <f>MAX(Pricer!$B$16*(A11-Strike),0)</f>
        <v/>
      </c>
    </row>
    <row r="12">
      <c r="A12" s="12">
        <f>Strike*(0.5+10/40)</f>
        <v/>
      </c>
      <c r="B12" s="12">
        <f>Pricer!$B$16*(A12*EXP(-DivYield*Maturity)*NORMSDIST(Pricer!$B$16*((LN(A12/Strike)+(Rate-DivYield+Vol^2/2)*Maturity)/(Vol*SQRT(Maturity))))-Strike*EXP(-Rate*Maturity)*NORMSDIST(Pricer!$B$16*(((LN(A12/Strike)+(Rate-DivYield+Vol^2/2)*Maturity)/(Vol*SQRT(Maturity)))-Vol*SQRT(Maturity))))</f>
        <v/>
      </c>
      <c r="C12" s="12">
        <f>MAX(Pricer!$B$16*(A12-Strike),0)</f>
        <v/>
      </c>
    </row>
    <row r="13">
      <c r="A13" s="12">
        <f>Strike*(0.5+11/40)</f>
        <v/>
      </c>
      <c r="B13" s="12">
        <f>Pricer!$B$16*(A13*EXP(-DivYield*Maturity)*NORMSDIST(Pricer!$B$16*((LN(A13/Strike)+(Rate-DivYield+Vol^2/2)*Maturity)/(Vol*SQRT(Maturity))))-Strike*EXP(-Rate*Maturity)*NORMSDIST(Pricer!$B$16*(((LN(A13/Strike)+(Rate-DivYield+Vol^2/2)*Maturity)/(Vol*SQRT(Maturity)))-Vol*SQRT(Maturity))))</f>
        <v/>
      </c>
      <c r="C13" s="12">
        <f>MAX(Pricer!$B$16*(A13-Strike),0)</f>
        <v/>
      </c>
    </row>
    <row r="14">
      <c r="A14" s="12">
        <f>Strike*(0.5+12/40)</f>
        <v/>
      </c>
      <c r="B14" s="12">
        <f>Pricer!$B$16*(A14*EXP(-DivYield*Maturity)*NORMSDIST(Pricer!$B$16*((LN(A14/Strike)+(Rate-DivYield+Vol^2/2)*Maturity)/(Vol*SQRT(Maturity))))-Strike*EXP(-Rate*Maturity)*NORMSDIST(Pricer!$B$16*(((LN(A14/Strike)+(Rate-DivYield+Vol^2/2)*Maturity)/(Vol*SQRT(Maturity)))-Vol*SQRT(Maturity))))</f>
        <v/>
      </c>
      <c r="C14" s="12">
        <f>MAX(Pricer!$B$16*(A14-Strike),0)</f>
        <v/>
      </c>
    </row>
    <row r="15">
      <c r="A15" s="12">
        <f>Strike*(0.5+13/40)</f>
        <v/>
      </c>
      <c r="B15" s="12">
        <f>Pricer!$B$16*(A15*EXP(-DivYield*Maturity)*NORMSDIST(Pricer!$B$16*((LN(A15/Strike)+(Rate-DivYield+Vol^2/2)*Maturity)/(Vol*SQRT(Maturity))))-Strike*EXP(-Rate*Maturity)*NORMSDIST(Pricer!$B$16*(((LN(A15/Strike)+(Rate-DivYield+Vol^2/2)*Maturity)/(Vol*SQRT(Maturity)))-Vol*SQRT(Maturity))))</f>
        <v/>
      </c>
      <c r="C15" s="12">
        <f>MAX(Pricer!$B$16*(A15-Strike),0)</f>
        <v/>
      </c>
    </row>
    <row r="16">
      <c r="A16" s="12">
        <f>Strike*(0.5+14/40)</f>
        <v/>
      </c>
      <c r="B16" s="12">
        <f>Pricer!$B$16*(A16*EXP(-DivYield*Maturity)*NORMSDIST(Pricer!$B$16*((LN(A16/Strike)+(Rate-DivYield+Vol^2/2)*Maturity)/(Vol*SQRT(Maturity))))-Strike*EXP(-Rate*Maturity)*NORMSDIST(Pricer!$B$16*(((LN(A16/Strike)+(Rate-DivYield+Vol^2/2)*Maturity)/(Vol*SQRT(Maturity)))-Vol*SQRT(Maturity))))</f>
        <v/>
      </c>
      <c r="C16" s="12">
        <f>MAX(Pricer!$B$16*(A16-Strike),0)</f>
        <v/>
      </c>
    </row>
    <row r="17">
      <c r="A17" s="12">
        <f>Strike*(0.5+15/40)</f>
        <v/>
      </c>
      <c r="B17" s="12">
        <f>Pricer!$B$16*(A17*EXP(-DivYield*Maturity)*NORMSDIST(Pricer!$B$16*((LN(A17/Strike)+(Rate-DivYield+Vol^2/2)*Maturity)/(Vol*SQRT(Maturity))))-Strike*EXP(-Rate*Maturity)*NORMSDIST(Pricer!$B$16*(((LN(A17/Strike)+(Rate-DivYield+Vol^2/2)*Maturity)/(Vol*SQRT(Maturity)))-Vol*SQRT(Maturity))))</f>
        <v/>
      </c>
      <c r="C17" s="12">
        <f>MAX(Pricer!$B$16*(A17-Strike),0)</f>
        <v/>
      </c>
    </row>
    <row r="18">
      <c r="A18" s="12">
        <f>Strike*(0.5+16/40)</f>
        <v/>
      </c>
      <c r="B18" s="12">
        <f>Pricer!$B$16*(A18*EXP(-DivYield*Maturity)*NORMSDIST(Pricer!$B$16*((LN(A18/Strike)+(Rate-DivYield+Vol^2/2)*Maturity)/(Vol*SQRT(Maturity))))-Strike*EXP(-Rate*Maturity)*NORMSDIST(Pricer!$B$16*(((LN(A18/Strike)+(Rate-DivYield+Vol^2/2)*Maturity)/(Vol*SQRT(Maturity)))-Vol*SQRT(Maturity))))</f>
        <v/>
      </c>
      <c r="C18" s="12">
        <f>MAX(Pricer!$B$16*(A18-Strike),0)</f>
        <v/>
      </c>
    </row>
    <row r="19">
      <c r="A19" s="12">
        <f>Strike*(0.5+17/40)</f>
        <v/>
      </c>
      <c r="B19" s="12">
        <f>Pricer!$B$16*(A19*EXP(-DivYield*Maturity)*NORMSDIST(Pricer!$B$16*((LN(A19/Strike)+(Rate-DivYield+Vol^2/2)*Maturity)/(Vol*SQRT(Maturity))))-Strike*EXP(-Rate*Maturity)*NORMSDIST(Pricer!$B$16*(((LN(A19/Strike)+(Rate-DivYield+Vol^2/2)*Maturity)/(Vol*SQRT(Maturity)))-Vol*SQRT(Maturity))))</f>
        <v/>
      </c>
      <c r="C19" s="12">
        <f>MAX(Pricer!$B$16*(A19-Strike),0)</f>
        <v/>
      </c>
    </row>
    <row r="20">
      <c r="A20" s="12">
        <f>Strike*(0.5+18/40)</f>
        <v/>
      </c>
      <c r="B20" s="12">
        <f>Pricer!$B$16*(A20*EXP(-DivYield*Maturity)*NORMSDIST(Pricer!$B$16*((LN(A20/Strike)+(Rate-DivYield+Vol^2/2)*Maturity)/(Vol*SQRT(Maturity))))-Strike*EXP(-Rate*Maturity)*NORMSDIST(Pricer!$B$16*(((LN(A20/Strike)+(Rate-DivYield+Vol^2/2)*Maturity)/(Vol*SQRT(Maturity)))-Vol*SQRT(Maturity))))</f>
        <v/>
      </c>
      <c r="C20" s="12">
        <f>MAX(Pricer!$B$16*(A20-Strike),0)</f>
        <v/>
      </c>
    </row>
    <row r="21">
      <c r="A21" s="12">
        <f>Strike*(0.5+19/40)</f>
        <v/>
      </c>
      <c r="B21" s="12">
        <f>Pricer!$B$16*(A21*EXP(-DivYield*Maturity)*NORMSDIST(Pricer!$B$16*((LN(A21/Strike)+(Rate-DivYield+Vol^2/2)*Maturity)/(Vol*SQRT(Maturity))))-Strike*EXP(-Rate*Maturity)*NORMSDIST(Pricer!$B$16*(((LN(A21/Strike)+(Rate-DivYield+Vol^2/2)*Maturity)/(Vol*SQRT(Maturity)))-Vol*SQRT(Maturity))))</f>
        <v/>
      </c>
      <c r="C21" s="12">
        <f>MAX(Pricer!$B$16*(A21-Strike),0)</f>
        <v/>
      </c>
    </row>
    <row r="22">
      <c r="A22" s="12">
        <f>Strike*(0.5+20/40)</f>
        <v/>
      </c>
      <c r="B22" s="12">
        <f>Pricer!$B$16*(A22*EXP(-DivYield*Maturity)*NORMSDIST(Pricer!$B$16*((LN(A22/Strike)+(Rate-DivYield+Vol^2/2)*Maturity)/(Vol*SQRT(Maturity))))-Strike*EXP(-Rate*Maturity)*NORMSDIST(Pricer!$B$16*(((LN(A22/Strike)+(Rate-DivYield+Vol^2/2)*Maturity)/(Vol*SQRT(Maturity)))-Vol*SQRT(Maturity))))</f>
        <v/>
      </c>
      <c r="C22" s="12">
        <f>MAX(Pricer!$B$16*(A22-Strike),0)</f>
        <v/>
      </c>
    </row>
    <row r="23">
      <c r="A23" s="12">
        <f>Strike*(0.5+21/40)</f>
        <v/>
      </c>
      <c r="B23" s="12">
        <f>Pricer!$B$16*(A23*EXP(-DivYield*Maturity)*NORMSDIST(Pricer!$B$16*((LN(A23/Strike)+(Rate-DivYield+Vol^2/2)*Maturity)/(Vol*SQRT(Maturity))))-Strike*EXP(-Rate*Maturity)*NORMSDIST(Pricer!$B$16*(((LN(A23/Strike)+(Rate-DivYield+Vol^2/2)*Maturity)/(Vol*SQRT(Maturity)))-Vol*SQRT(Maturity))))</f>
        <v/>
      </c>
      <c r="C23" s="12">
        <f>MAX(Pricer!$B$16*(A23-Strike),0)</f>
        <v/>
      </c>
    </row>
    <row r="24">
      <c r="A24" s="12">
        <f>Strike*(0.5+22/40)</f>
        <v/>
      </c>
      <c r="B24" s="12">
        <f>Pricer!$B$16*(A24*EXP(-DivYield*Maturity)*NORMSDIST(Pricer!$B$16*((LN(A24/Strike)+(Rate-DivYield+Vol^2/2)*Maturity)/(Vol*SQRT(Maturity))))-Strike*EXP(-Rate*Maturity)*NORMSDIST(Pricer!$B$16*(((LN(A24/Strike)+(Rate-DivYield+Vol^2/2)*Maturity)/(Vol*SQRT(Maturity)))-Vol*SQRT(Maturity))))</f>
        <v/>
      </c>
      <c r="C24" s="12">
        <f>MAX(Pricer!$B$16*(A24-Strike),0)</f>
        <v/>
      </c>
    </row>
    <row r="25">
      <c r="A25" s="12">
        <f>Strike*(0.5+23/40)</f>
        <v/>
      </c>
      <c r="B25" s="12">
        <f>Pricer!$B$16*(A25*EXP(-DivYield*Maturity)*NORMSDIST(Pricer!$B$16*((LN(A25/Strike)+(Rate-DivYield+Vol^2/2)*Maturity)/(Vol*SQRT(Maturity))))-Strike*EXP(-Rate*Maturity)*NORMSDIST(Pricer!$B$16*(((LN(A25/Strike)+(Rate-DivYield+Vol^2/2)*Maturity)/(Vol*SQRT(Maturity)))-Vol*SQRT(Maturity))))</f>
        <v/>
      </c>
      <c r="C25" s="12">
        <f>MAX(Pricer!$B$16*(A25-Strike),0)</f>
        <v/>
      </c>
    </row>
    <row r="26">
      <c r="A26" s="12">
        <f>Strike*(0.5+24/40)</f>
        <v/>
      </c>
      <c r="B26" s="12">
        <f>Pricer!$B$16*(A26*EXP(-DivYield*Maturity)*NORMSDIST(Pricer!$B$16*((LN(A26/Strike)+(Rate-DivYield+Vol^2/2)*Maturity)/(Vol*SQRT(Maturity))))-Strike*EXP(-Rate*Maturity)*NORMSDIST(Pricer!$B$16*(((LN(A26/Strike)+(Rate-DivYield+Vol^2/2)*Maturity)/(Vol*SQRT(Maturity)))-Vol*SQRT(Maturity))))</f>
        <v/>
      </c>
      <c r="C26" s="12">
        <f>MAX(Pricer!$B$16*(A26-Strike),0)</f>
        <v/>
      </c>
    </row>
    <row r="27">
      <c r="A27" s="12">
        <f>Strike*(0.5+25/40)</f>
        <v/>
      </c>
      <c r="B27" s="12">
        <f>Pricer!$B$16*(A27*EXP(-DivYield*Maturity)*NORMSDIST(Pricer!$B$16*((LN(A27/Strike)+(Rate-DivYield+Vol^2/2)*Maturity)/(Vol*SQRT(Maturity))))-Strike*EXP(-Rate*Maturity)*NORMSDIST(Pricer!$B$16*(((LN(A27/Strike)+(Rate-DivYield+Vol^2/2)*Maturity)/(Vol*SQRT(Maturity)))-Vol*SQRT(Maturity))))</f>
        <v/>
      </c>
      <c r="C27" s="12">
        <f>MAX(Pricer!$B$16*(A27-Strike),0)</f>
        <v/>
      </c>
    </row>
    <row r="28">
      <c r="A28" s="12">
        <f>Strike*(0.5+26/40)</f>
        <v/>
      </c>
      <c r="B28" s="12">
        <f>Pricer!$B$16*(A28*EXP(-DivYield*Maturity)*NORMSDIST(Pricer!$B$16*((LN(A28/Strike)+(Rate-DivYield+Vol^2/2)*Maturity)/(Vol*SQRT(Maturity))))-Strike*EXP(-Rate*Maturity)*NORMSDIST(Pricer!$B$16*(((LN(A28/Strike)+(Rate-DivYield+Vol^2/2)*Maturity)/(Vol*SQRT(Maturity)))-Vol*SQRT(Maturity))))</f>
        <v/>
      </c>
      <c r="C28" s="12">
        <f>MAX(Pricer!$B$16*(A28-Strike),0)</f>
        <v/>
      </c>
    </row>
    <row r="29">
      <c r="A29" s="12">
        <f>Strike*(0.5+27/40)</f>
        <v/>
      </c>
      <c r="B29" s="12">
        <f>Pricer!$B$16*(A29*EXP(-DivYield*Maturity)*NORMSDIST(Pricer!$B$16*((LN(A29/Strike)+(Rate-DivYield+Vol^2/2)*Maturity)/(Vol*SQRT(Maturity))))-Strike*EXP(-Rate*Maturity)*NORMSDIST(Pricer!$B$16*(((LN(A29/Strike)+(Rate-DivYield+Vol^2/2)*Maturity)/(Vol*SQRT(Maturity)))-Vol*SQRT(Maturity))))</f>
        <v/>
      </c>
      <c r="C29" s="12">
        <f>MAX(Pricer!$B$16*(A29-Strike),0)</f>
        <v/>
      </c>
    </row>
    <row r="30">
      <c r="A30" s="12">
        <f>Strike*(0.5+28/40)</f>
        <v/>
      </c>
      <c r="B30" s="12">
        <f>Pricer!$B$16*(A30*EXP(-DivYield*Maturity)*NORMSDIST(Pricer!$B$16*((LN(A30/Strike)+(Rate-DivYield+Vol^2/2)*Maturity)/(Vol*SQRT(Maturity))))-Strike*EXP(-Rate*Maturity)*NORMSDIST(Pricer!$B$16*(((LN(A30/Strike)+(Rate-DivYield+Vol^2/2)*Maturity)/(Vol*SQRT(Maturity)))-Vol*SQRT(Maturity))))</f>
        <v/>
      </c>
      <c r="C30" s="12">
        <f>MAX(Pricer!$B$16*(A30-Strike),0)</f>
        <v/>
      </c>
    </row>
    <row r="31">
      <c r="A31" s="12">
        <f>Strike*(0.5+29/40)</f>
        <v/>
      </c>
      <c r="B31" s="12">
        <f>Pricer!$B$16*(A31*EXP(-DivYield*Maturity)*NORMSDIST(Pricer!$B$16*((LN(A31/Strike)+(Rate-DivYield+Vol^2/2)*Maturity)/(Vol*SQRT(Maturity))))-Strike*EXP(-Rate*Maturity)*NORMSDIST(Pricer!$B$16*(((LN(A31/Strike)+(Rate-DivYield+Vol^2/2)*Maturity)/(Vol*SQRT(Maturity)))-Vol*SQRT(Maturity))))</f>
        <v/>
      </c>
      <c r="C31" s="12">
        <f>MAX(Pricer!$B$16*(A31-Strike),0)</f>
        <v/>
      </c>
    </row>
    <row r="32">
      <c r="A32" s="12">
        <f>Strike*(0.5+30/40)</f>
        <v/>
      </c>
      <c r="B32" s="12">
        <f>Pricer!$B$16*(A32*EXP(-DivYield*Maturity)*NORMSDIST(Pricer!$B$16*((LN(A32/Strike)+(Rate-DivYield+Vol^2/2)*Maturity)/(Vol*SQRT(Maturity))))-Strike*EXP(-Rate*Maturity)*NORMSDIST(Pricer!$B$16*(((LN(A32/Strike)+(Rate-DivYield+Vol^2/2)*Maturity)/(Vol*SQRT(Maturity)))-Vol*SQRT(Maturity))))</f>
        <v/>
      </c>
      <c r="C32" s="12">
        <f>MAX(Pricer!$B$16*(A32-Strike),0)</f>
        <v/>
      </c>
    </row>
    <row r="33">
      <c r="A33" s="12">
        <f>Strike*(0.5+31/40)</f>
        <v/>
      </c>
      <c r="B33" s="12">
        <f>Pricer!$B$16*(A33*EXP(-DivYield*Maturity)*NORMSDIST(Pricer!$B$16*((LN(A33/Strike)+(Rate-DivYield+Vol^2/2)*Maturity)/(Vol*SQRT(Maturity))))-Strike*EXP(-Rate*Maturity)*NORMSDIST(Pricer!$B$16*(((LN(A33/Strike)+(Rate-DivYield+Vol^2/2)*Maturity)/(Vol*SQRT(Maturity)))-Vol*SQRT(Maturity))))</f>
        <v/>
      </c>
      <c r="C33" s="12">
        <f>MAX(Pricer!$B$16*(A33-Strike),0)</f>
        <v/>
      </c>
    </row>
    <row r="34">
      <c r="A34" s="12">
        <f>Strike*(0.5+32/40)</f>
        <v/>
      </c>
      <c r="B34" s="12">
        <f>Pricer!$B$16*(A34*EXP(-DivYield*Maturity)*NORMSDIST(Pricer!$B$16*((LN(A34/Strike)+(Rate-DivYield+Vol^2/2)*Maturity)/(Vol*SQRT(Maturity))))-Strike*EXP(-Rate*Maturity)*NORMSDIST(Pricer!$B$16*(((LN(A34/Strike)+(Rate-DivYield+Vol^2/2)*Maturity)/(Vol*SQRT(Maturity)))-Vol*SQRT(Maturity))))</f>
        <v/>
      </c>
      <c r="C34" s="12">
        <f>MAX(Pricer!$B$16*(A34-Strike),0)</f>
        <v/>
      </c>
    </row>
    <row r="35">
      <c r="A35" s="12">
        <f>Strike*(0.5+33/40)</f>
        <v/>
      </c>
      <c r="B35" s="12">
        <f>Pricer!$B$16*(A35*EXP(-DivYield*Maturity)*NORMSDIST(Pricer!$B$16*((LN(A35/Strike)+(Rate-DivYield+Vol^2/2)*Maturity)/(Vol*SQRT(Maturity))))-Strike*EXP(-Rate*Maturity)*NORMSDIST(Pricer!$B$16*(((LN(A35/Strike)+(Rate-DivYield+Vol^2/2)*Maturity)/(Vol*SQRT(Maturity)))-Vol*SQRT(Maturity))))</f>
        <v/>
      </c>
      <c r="C35" s="12">
        <f>MAX(Pricer!$B$16*(A35-Strike),0)</f>
        <v/>
      </c>
    </row>
    <row r="36">
      <c r="A36" s="12">
        <f>Strike*(0.5+34/40)</f>
        <v/>
      </c>
      <c r="B36" s="12">
        <f>Pricer!$B$16*(A36*EXP(-DivYield*Maturity)*NORMSDIST(Pricer!$B$16*((LN(A36/Strike)+(Rate-DivYield+Vol^2/2)*Maturity)/(Vol*SQRT(Maturity))))-Strike*EXP(-Rate*Maturity)*NORMSDIST(Pricer!$B$16*(((LN(A36/Strike)+(Rate-DivYield+Vol^2/2)*Maturity)/(Vol*SQRT(Maturity)))-Vol*SQRT(Maturity))))</f>
        <v/>
      </c>
      <c r="C36" s="12">
        <f>MAX(Pricer!$B$16*(A36-Strike),0)</f>
        <v/>
      </c>
    </row>
    <row r="37">
      <c r="A37" s="12">
        <f>Strike*(0.5+35/40)</f>
        <v/>
      </c>
      <c r="B37" s="12">
        <f>Pricer!$B$16*(A37*EXP(-DivYield*Maturity)*NORMSDIST(Pricer!$B$16*((LN(A37/Strike)+(Rate-DivYield+Vol^2/2)*Maturity)/(Vol*SQRT(Maturity))))-Strike*EXP(-Rate*Maturity)*NORMSDIST(Pricer!$B$16*(((LN(A37/Strike)+(Rate-DivYield+Vol^2/2)*Maturity)/(Vol*SQRT(Maturity)))-Vol*SQRT(Maturity))))</f>
        <v/>
      </c>
      <c r="C37" s="12">
        <f>MAX(Pricer!$B$16*(A37-Strike),0)</f>
        <v/>
      </c>
    </row>
    <row r="38">
      <c r="A38" s="12">
        <f>Strike*(0.5+36/40)</f>
        <v/>
      </c>
      <c r="B38" s="12">
        <f>Pricer!$B$16*(A38*EXP(-DivYield*Maturity)*NORMSDIST(Pricer!$B$16*((LN(A38/Strike)+(Rate-DivYield+Vol^2/2)*Maturity)/(Vol*SQRT(Maturity))))-Strike*EXP(-Rate*Maturity)*NORMSDIST(Pricer!$B$16*(((LN(A38/Strike)+(Rate-DivYield+Vol^2/2)*Maturity)/(Vol*SQRT(Maturity)))-Vol*SQRT(Maturity))))</f>
        <v/>
      </c>
      <c r="C38" s="12">
        <f>MAX(Pricer!$B$16*(A38-Strike),0)</f>
        <v/>
      </c>
    </row>
    <row r="39">
      <c r="A39" s="12">
        <f>Strike*(0.5+37/40)</f>
        <v/>
      </c>
      <c r="B39" s="12">
        <f>Pricer!$B$16*(A39*EXP(-DivYield*Maturity)*NORMSDIST(Pricer!$B$16*((LN(A39/Strike)+(Rate-DivYield+Vol^2/2)*Maturity)/(Vol*SQRT(Maturity))))-Strike*EXP(-Rate*Maturity)*NORMSDIST(Pricer!$B$16*(((LN(A39/Strike)+(Rate-DivYield+Vol^2/2)*Maturity)/(Vol*SQRT(Maturity)))-Vol*SQRT(Maturity))))</f>
        <v/>
      </c>
      <c r="C39" s="12">
        <f>MAX(Pricer!$B$16*(A39-Strike),0)</f>
        <v/>
      </c>
    </row>
    <row r="40">
      <c r="A40" s="12">
        <f>Strike*(0.5+38/40)</f>
        <v/>
      </c>
      <c r="B40" s="12">
        <f>Pricer!$B$16*(A40*EXP(-DivYield*Maturity)*NORMSDIST(Pricer!$B$16*((LN(A40/Strike)+(Rate-DivYield+Vol^2/2)*Maturity)/(Vol*SQRT(Maturity))))-Strike*EXP(-Rate*Maturity)*NORMSDIST(Pricer!$B$16*(((LN(A40/Strike)+(Rate-DivYield+Vol^2/2)*Maturity)/(Vol*SQRT(Maturity)))-Vol*SQRT(Maturity))))</f>
        <v/>
      </c>
      <c r="C40" s="12">
        <f>MAX(Pricer!$B$16*(A40-Strike),0)</f>
        <v/>
      </c>
    </row>
    <row r="41">
      <c r="A41" s="12">
        <f>Strike*(0.5+39/40)</f>
        <v/>
      </c>
      <c r="B41" s="12">
        <f>Pricer!$B$16*(A41*EXP(-DivYield*Maturity)*NORMSDIST(Pricer!$B$16*((LN(A41/Strike)+(Rate-DivYield+Vol^2/2)*Maturity)/(Vol*SQRT(Maturity))))-Strike*EXP(-Rate*Maturity)*NORMSDIST(Pricer!$B$16*(((LN(A41/Strike)+(Rate-DivYield+Vol^2/2)*Maturity)/(Vol*SQRT(Maturity)))-Vol*SQRT(Maturity))))</f>
        <v/>
      </c>
      <c r="C41" s="12">
        <f>MAX(Pricer!$B$16*(A41-Strike),0)</f>
        <v/>
      </c>
    </row>
    <row r="42">
      <c r="A42" s="12">
        <f>Strike*(0.5+40/40)</f>
        <v/>
      </c>
      <c r="B42" s="12">
        <f>Pricer!$B$16*(A42*EXP(-DivYield*Maturity)*NORMSDIST(Pricer!$B$16*((LN(A42/Strike)+(Rate-DivYield+Vol^2/2)*Maturity)/(Vol*SQRT(Maturity))))-Strike*EXP(-Rate*Maturity)*NORMSDIST(Pricer!$B$16*(((LN(A42/Strike)+(Rate-DivYield+Vol^2/2)*Maturity)/(Vol*SQRT(Maturity)))-Vol*SQRT(Maturity))))</f>
        <v/>
      </c>
      <c r="C42" s="12">
        <f>MAX(Pricer!$B$16*(A42-Strike),0)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3" t="inlineStr">
        <is>
          <t>Model: Black-Scholes-Merton for European options, continuous dividend yield.</t>
        </is>
      </c>
    </row>
    <row r="2">
      <c r="A2" s="13" t="inlineStr">
        <is>
          <t>Uses only long-standing functions (NORMSDIST, LN, EXP), so it works in any Excel version and LibreOffice.</t>
        </is>
      </c>
    </row>
    <row r="3">
      <c r="A3" s="13" t="inlineStr">
        <is>
          <t>Greeks: vega and rho per 1 percentage point, theta per calendar day (annual / 365).</t>
        </is>
      </c>
    </row>
    <row r="4">
      <c r="A4" s="13" t="inlineStr">
        <is>
          <t>American options and Monte Carlo are only in the Python package (option_pricer).</t>
        </is>
      </c>
    </row>
    <row r="5">
      <c r="A5" s="13" t="inlineStr">
        <is>
          <t>Optional: vba/BlackScholes.bas adds a =BS_PRICE(...) user function (see README).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2026-10-26T11:28:03Z</dcterms:created>
  <dcterms:modified xsi:type="dcterms:W3CDTF">2026-10-26T11:28:03Z</dcterms:modified>
</cp:coreProperties>
</file>